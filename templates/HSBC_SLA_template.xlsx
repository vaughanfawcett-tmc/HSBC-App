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milesconsultancy-my.sharepoint.com/personal/bethany_howden_themilesconsultancy_co_uk/Documents/"/>
    </mc:Choice>
  </mc:AlternateContent>
  <xr:revisionPtr revIDLastSave="0" documentId="8_{C7E28BE2-B50F-4696-BFE4-3B0329E216D5}" xr6:coauthVersionLast="47" xr6:coauthVersionMax="47" xr10:uidLastSave="{00000000-0000-0000-0000-000000000000}"/>
  <bookViews>
    <workbookView xWindow="-110" yWindow="-110" windowWidth="19420" windowHeight="10300" xr2:uid="{8BC786A4-8B14-43F7-A3D4-3577149EA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</calcChain>
</file>

<file path=xl/sharedStrings.xml><?xml version="1.0" encoding="utf-8"?>
<sst xmlns="http://schemas.openxmlformats.org/spreadsheetml/2006/main" count="323" uniqueCount="95">
  <si>
    <t>CRM SLA by Customer - March 2026</t>
  </si>
  <si>
    <t xml:space="preserve">Services - All </t>
  </si>
  <si>
    <t>Data/ Reporting</t>
  </si>
  <si>
    <t>Reporting Mailbox</t>
  </si>
  <si>
    <t>Payrolls</t>
  </si>
  <si>
    <t>Reconciliation Reports</t>
  </si>
  <si>
    <t>Client</t>
  </si>
  <si>
    <t>Within SLA</t>
  </si>
  <si>
    <t>Outside SLA</t>
  </si>
  <si>
    <t>% Within</t>
  </si>
  <si>
    <t>Comment</t>
  </si>
  <si>
    <t>Number of Cases</t>
  </si>
  <si>
    <t>% Within SLA</t>
  </si>
  <si>
    <t>Number of Payrolls</t>
  </si>
  <si>
    <t>Recalculations</t>
  </si>
  <si>
    <t>Number of Reports</t>
  </si>
  <si>
    <t>TOTAL</t>
  </si>
  <si>
    <t>**ArdexandBA**</t>
  </si>
  <si>
    <t>4Com</t>
  </si>
  <si>
    <t>-</t>
  </si>
  <si>
    <t>Adcock Refrigeration Ltd</t>
  </si>
  <si>
    <t>Airnov Healthcare Packaging</t>
  </si>
  <si>
    <t>N/A</t>
  </si>
  <si>
    <t>Anglia Components</t>
  </si>
  <si>
    <t>Ashfield Healthcare</t>
  </si>
  <si>
    <t>Beko</t>
  </si>
  <si>
    <t>Brayleys Cars Limited</t>
  </si>
  <si>
    <t>Building Adhesives Limited</t>
  </si>
  <si>
    <t>C Spencer LTD</t>
  </si>
  <si>
    <t>CDA Group</t>
  </si>
  <si>
    <t>Checkit Plc</t>
  </si>
  <si>
    <t>Chep UK limited</t>
  </si>
  <si>
    <t>Chivas Brothers</t>
  </si>
  <si>
    <t>Close Bros</t>
  </si>
  <si>
    <t>Cogent UK</t>
  </si>
  <si>
    <t>Crossroads &amp; Hartshorne</t>
  </si>
  <si>
    <t>Crown Lift Trucks</t>
  </si>
  <si>
    <t>Epson UK</t>
  </si>
  <si>
    <t>Epson International</t>
  </si>
  <si>
    <t>Exponential-E</t>
  </si>
  <si>
    <t>FK Group</t>
  </si>
  <si>
    <t>Footasylum</t>
  </si>
  <si>
    <t>FSH Group</t>
  </si>
  <si>
    <t>Geberit</t>
  </si>
  <si>
    <t>GXO Logistics UK</t>
  </si>
  <si>
    <t>Harrison Catering</t>
  </si>
  <si>
    <t>Healthcare at Home</t>
  </si>
  <si>
    <t>Hitachi Vantara</t>
  </si>
  <si>
    <t>Honeywell UK</t>
  </si>
  <si>
    <t>Honeywell International</t>
  </si>
  <si>
    <t>Translating Emails</t>
  </si>
  <si>
    <t>HSS Hire</t>
  </si>
  <si>
    <t>Hugh Steeper LTD</t>
  </si>
  <si>
    <t>JACOBS DOUWE EGBERTS GB LTD</t>
  </si>
  <si>
    <t>Karcher</t>
  </si>
  <si>
    <t>Kohler Mira</t>
  </si>
  <si>
    <t>Lloyd</t>
  </si>
  <si>
    <t>Lyreco</t>
  </si>
  <si>
    <t>M&amp;D Foundations &amp; Building Services Limited</t>
  </si>
  <si>
    <t>Medicareplus International Ltd.</t>
  </si>
  <si>
    <t>Miele</t>
  </si>
  <si>
    <t>Moto Novo</t>
  </si>
  <si>
    <t>MPB Structures Ltd</t>
  </si>
  <si>
    <t>NCS Group</t>
  </si>
  <si>
    <t>New Look</t>
  </si>
  <si>
    <t>NHBC</t>
  </si>
  <si>
    <t>Nordex Ltd.</t>
  </si>
  <si>
    <t>Novo Nordisk</t>
  </si>
  <si>
    <t>NSHI</t>
  </si>
  <si>
    <t>OC Davies</t>
  </si>
  <si>
    <t>Peri Ltd</t>
  </si>
  <si>
    <t>Pernod-Ricard UK</t>
  </si>
  <si>
    <t>Phase Electrical</t>
  </si>
  <si>
    <t>Premier Foods</t>
  </si>
  <si>
    <t>Real Time Communications</t>
  </si>
  <si>
    <t>Property Information Exchange Ltd</t>
  </si>
  <si>
    <t>Revium Group</t>
  </si>
  <si>
    <t>Rocksteady Music School</t>
  </si>
  <si>
    <t>Salus-Tech</t>
  </si>
  <si>
    <t>St Leonards Motors Ltd</t>
  </si>
  <si>
    <t>Stannah</t>
  </si>
  <si>
    <t>Stark Connect Ltd</t>
  </si>
  <si>
    <t>NA</t>
  </si>
  <si>
    <t>Steria</t>
  </si>
  <si>
    <t>Sto Ltd</t>
  </si>
  <si>
    <t>Stokers Ltd</t>
  </si>
  <si>
    <t>The Frasers Group</t>
  </si>
  <si>
    <t>Tri Wall</t>
  </si>
  <si>
    <t>TMC</t>
  </si>
  <si>
    <t>UK Power Networks</t>
  </si>
  <si>
    <t>Vinci Fleet Services</t>
  </si>
  <si>
    <t>VP PLC</t>
  </si>
  <si>
    <t>YOUFIBRE LIMITED</t>
  </si>
  <si>
    <t>Call backs (within 4 working hours)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</si>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</sst>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8"/>
      <color theme="5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9" fontId="7" fillId="3" borderId="5" xfId="0" applyNumberFormat="1" applyFont="1" applyFill="1" applyBorder="1" applyAlignment="1">
      <alignment horizontal="center"/>
    </xf>
    <xf numFmtId="0" fontId="7" fillId="3" borderId="5" xfId="0" applyFont="1" applyFill="1" applyBorder="1"/>
    <xf numFmtId="0" fontId="6" fillId="0" borderId="0" xfId="0" applyFont="1"/>
    <xf numFmtId="0" fontId="7" fillId="3" borderId="6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0" fillId="0" borderId="5" xfId="0" applyBorder="1"/>
    <xf numFmtId="0" fontId="2" fillId="2" borderId="5" xfId="2" applyBorder="1" applyAlignment="1">
      <alignment horizontal="center"/>
    </xf>
    <xf numFmtId="1" fontId="2" fillId="2" borderId="5" xfId="2" applyNumberFormat="1" applyBorder="1" applyAlignment="1">
      <alignment horizontal="center"/>
    </xf>
    <xf numFmtId="9" fontId="2" fillId="2" borderId="5" xfId="2" applyNumberForma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5" xfId="1" applyFont="1" applyBorder="1" applyAlignment="1">
      <alignment horizontal="center"/>
    </xf>
  </cellXfs>
  <cellStyles count="3">
    <cellStyle name="Calculation" xfId="2" builtinId="22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411C0-6B11-483B-8029-49A6A92A83CC}">
  <dimension ref="B1:Q156"/>
  <sheetViews>
    <sheetView tabSelected="1" topLeftCell="A68" workbookViewId="0">
      <selection activeCell="B77" sqref="B6:F77"/>
    </sheetView>
  </sheetViews>
  <sheetFormatPr defaultRowHeight="14.5" x14ac:dyDescent="0.35"/>
  <cols>
    <col min="1" max="1" width="2.6328125" customWidth="1"/>
    <col min="2" max="2" width="55.08984375" bestFit="1" customWidth="1"/>
    <col min="3" max="3" width="11" style="1" bestFit="1" customWidth="1"/>
    <col min="4" max="4" width="11.6328125" style="1" bestFit="1" customWidth="1"/>
    <col min="5" max="5" width="12" style="2" bestFit="1" customWidth="1"/>
    <col min="6" max="6" width="83.36328125" bestFit="1" customWidth="1"/>
    <col min="7" max="7" width="2.90625" customWidth="1"/>
    <col min="8" max="8" width="35" bestFit="1" customWidth="1"/>
    <col min="9" max="9" width="36.54296875" bestFit="1" customWidth="1"/>
    <col min="10" max="10" width="16.08984375" bestFit="1" customWidth="1"/>
    <col min="11" max="11" width="10.453125" bestFit="1" customWidth="1"/>
    <col min="12" max="12" width="16.36328125" bestFit="1" customWidth="1"/>
    <col min="13" max="13" width="10.453125" bestFit="1" customWidth="1"/>
    <col min="14" max="14" width="14.54296875" bestFit="1" customWidth="1"/>
    <col min="15" max="15" width="16.90625" bestFit="1" customWidth="1"/>
    <col min="16" max="16" width="11.08984375" bestFit="1" customWidth="1"/>
  </cols>
  <sheetData>
    <row r="1" spans="2:17" ht="10.5" customHeight="1" x14ac:dyDescent="0.35"/>
    <row r="2" spans="2:17" ht="23.5" x14ac:dyDescent="0.55000000000000004">
      <c r="B2" s="3" t="s">
        <v>0</v>
      </c>
    </row>
    <row r="3" spans="2:17" ht="15" customHeight="1" x14ac:dyDescent="0.55000000000000004">
      <c r="B3" s="4"/>
    </row>
    <row r="4" spans="2:17" ht="16" x14ac:dyDescent="0.4">
      <c r="B4" s="5" t="s">
        <v>1</v>
      </c>
      <c r="C4" s="6"/>
      <c r="D4" s="6"/>
      <c r="E4" s="7"/>
      <c r="F4" s="5"/>
      <c r="G4" s="5"/>
      <c r="H4" s="5"/>
      <c r="I4" s="6" t="s">
        <v>2</v>
      </c>
      <c r="J4" s="1"/>
      <c r="K4" s="1"/>
      <c r="L4" s="1"/>
      <c r="M4" s="1"/>
      <c r="N4" s="1"/>
      <c r="O4" s="1"/>
      <c r="P4" s="1"/>
    </row>
    <row r="5" spans="2:17" x14ac:dyDescent="0.35">
      <c r="I5" s="8"/>
      <c r="J5" s="9" t="s">
        <v>3</v>
      </c>
      <c r="K5" s="10"/>
      <c r="L5" s="9" t="s">
        <v>4</v>
      </c>
      <c r="M5" s="11"/>
      <c r="N5" s="10"/>
      <c r="O5" s="9" t="s">
        <v>5</v>
      </c>
      <c r="P5" s="10"/>
    </row>
    <row r="6" spans="2:17" x14ac:dyDescent="0.35">
      <c r="B6" s="12" t="s">
        <v>6</v>
      </c>
      <c r="C6" s="13" t="s">
        <v>7</v>
      </c>
      <c r="D6" s="13" t="s">
        <v>8</v>
      </c>
      <c r="E6" s="14" t="s">
        <v>9</v>
      </c>
      <c r="F6" s="15" t="s">
        <v>10</v>
      </c>
      <c r="G6" s="16"/>
      <c r="H6" s="16"/>
      <c r="I6" s="13" t="s">
        <v>6</v>
      </c>
      <c r="J6" s="17" t="s">
        <v>11</v>
      </c>
      <c r="K6" s="17" t="s">
        <v>12</v>
      </c>
      <c r="L6" s="17" t="s">
        <v>13</v>
      </c>
      <c r="M6" s="17" t="s">
        <v>12</v>
      </c>
      <c r="N6" s="17" t="s">
        <v>14</v>
      </c>
      <c r="O6" s="17" t="s">
        <v>15</v>
      </c>
      <c r="P6" s="17" t="s">
        <v>12</v>
      </c>
    </row>
    <row r="7" spans="2:17" x14ac:dyDescent="0.35">
      <c r="B7" s="18" t="s">
        <v>16</v>
      </c>
      <c r="C7" s="18">
        <f>+SUM(C8:C77)</f>
        <v>925</v>
      </c>
      <c r="D7" s="18">
        <f>SUM(D8:D77)</f>
        <v>20</v>
      </c>
      <c r="E7" s="19">
        <v>0.98</v>
      </c>
      <c r="F7" s="20"/>
      <c r="G7" s="16"/>
      <c r="H7" s="16"/>
      <c r="I7" s="18" t="s">
        <v>17</v>
      </c>
      <c r="J7" s="18">
        <v>0</v>
      </c>
      <c r="K7" s="19"/>
      <c r="L7" s="18">
        <v>1</v>
      </c>
      <c r="M7" s="19">
        <v>1</v>
      </c>
      <c r="N7" s="21"/>
      <c r="O7" s="22">
        <v>1</v>
      </c>
      <c r="P7" s="23">
        <v>1</v>
      </c>
      <c r="Q7" s="20"/>
    </row>
    <row r="8" spans="2:17" x14ac:dyDescent="0.35">
      <c r="B8" s="18" t="s">
        <v>17</v>
      </c>
      <c r="C8" s="24">
        <v>4</v>
      </c>
      <c r="D8" s="18">
        <v>0</v>
      </c>
      <c r="E8" s="19">
        <v>1</v>
      </c>
      <c r="F8" s="20"/>
      <c r="G8" s="16"/>
      <c r="H8" s="16"/>
      <c r="I8" s="18" t="s">
        <v>18</v>
      </c>
      <c r="J8" s="18">
        <v>0</v>
      </c>
      <c r="K8" s="19"/>
      <c r="L8" s="18">
        <v>0</v>
      </c>
      <c r="M8" s="19" t="s">
        <v>19</v>
      </c>
      <c r="N8" s="21"/>
      <c r="O8" s="22">
        <v>1</v>
      </c>
      <c r="P8" s="23">
        <v>1</v>
      </c>
      <c r="Q8" s="20"/>
    </row>
    <row r="9" spans="2:17" x14ac:dyDescent="0.35">
      <c r="B9" s="18" t="s">
        <v>18</v>
      </c>
      <c r="C9" s="24">
        <v>1</v>
      </c>
      <c r="D9" s="18">
        <v>0</v>
      </c>
      <c r="E9" s="19">
        <v>1</v>
      </c>
      <c r="F9" s="20"/>
      <c r="G9" s="16"/>
      <c r="H9" s="16"/>
      <c r="I9" s="18" t="s">
        <v>20</v>
      </c>
      <c r="J9" s="18">
        <v>0</v>
      </c>
      <c r="K9" s="19"/>
      <c r="L9" s="18">
        <v>1</v>
      </c>
      <c r="M9" s="19">
        <v>1</v>
      </c>
      <c r="N9" s="21"/>
      <c r="O9" s="22">
        <v>1</v>
      </c>
      <c r="P9" s="23">
        <v>1</v>
      </c>
      <c r="Q9" s="20"/>
    </row>
    <row r="10" spans="2:17" x14ac:dyDescent="0.35">
      <c r="B10" s="18" t="s">
        <v>20</v>
      </c>
      <c r="C10" s="24">
        <v>1</v>
      </c>
      <c r="D10" s="18">
        <v>0</v>
      </c>
      <c r="E10" s="19">
        <v>1</v>
      </c>
      <c r="F10" s="20"/>
      <c r="G10" s="16"/>
      <c r="H10" s="16"/>
      <c r="I10" s="18" t="s">
        <v>21</v>
      </c>
      <c r="J10" s="18">
        <v>0</v>
      </c>
      <c r="K10" s="19"/>
      <c r="L10" s="18">
        <v>0</v>
      </c>
      <c r="M10" s="19" t="s">
        <v>19</v>
      </c>
      <c r="N10" s="21"/>
      <c r="O10" s="22">
        <v>1</v>
      </c>
      <c r="P10" s="23">
        <v>1</v>
      </c>
      <c r="Q10" s="20"/>
    </row>
    <row r="11" spans="2:17" x14ac:dyDescent="0.35">
      <c r="B11" s="18" t="s">
        <v>21</v>
      </c>
      <c r="C11" s="24">
        <v>0</v>
      </c>
      <c r="D11" s="18">
        <v>0</v>
      </c>
      <c r="E11" s="19" t="s">
        <v>22</v>
      </c>
      <c r="F11" s="20"/>
      <c r="G11" s="16"/>
      <c r="H11" s="16"/>
      <c r="I11" s="18" t="s">
        <v>23</v>
      </c>
      <c r="J11" s="18">
        <v>0</v>
      </c>
      <c r="K11" s="19"/>
      <c r="L11" s="18">
        <v>1</v>
      </c>
      <c r="M11" s="19">
        <v>1</v>
      </c>
      <c r="N11" s="21"/>
      <c r="O11" s="22">
        <v>1</v>
      </c>
      <c r="P11" s="23">
        <v>1</v>
      </c>
      <c r="Q11" s="20"/>
    </row>
    <row r="12" spans="2:17" x14ac:dyDescent="0.35">
      <c r="B12" s="18" t="s">
        <v>23</v>
      </c>
      <c r="C12" s="24">
        <v>3</v>
      </c>
      <c r="D12" s="18">
        <v>0</v>
      </c>
      <c r="E12" s="19">
        <v>1</v>
      </c>
      <c r="F12" s="20"/>
      <c r="G12" s="16"/>
      <c r="H12" s="16"/>
      <c r="I12" s="18" t="s">
        <v>24</v>
      </c>
      <c r="J12" s="18">
        <v>0</v>
      </c>
      <c r="K12" s="19"/>
      <c r="L12" s="18">
        <v>1</v>
      </c>
      <c r="M12" s="19">
        <v>1</v>
      </c>
      <c r="N12" s="21">
        <v>2</v>
      </c>
      <c r="O12" s="22">
        <v>1</v>
      </c>
      <c r="P12" s="23">
        <v>1</v>
      </c>
      <c r="Q12" s="20"/>
    </row>
    <row r="13" spans="2:17" x14ac:dyDescent="0.35">
      <c r="B13" s="18" t="s">
        <v>24</v>
      </c>
      <c r="C13" s="24">
        <v>29</v>
      </c>
      <c r="D13" s="18">
        <v>0</v>
      </c>
      <c r="E13" s="19">
        <v>1</v>
      </c>
      <c r="F13" s="20"/>
      <c r="G13" s="16"/>
      <c r="H13" s="16"/>
      <c r="I13" s="18" t="s">
        <v>25</v>
      </c>
      <c r="J13" s="18">
        <v>0</v>
      </c>
      <c r="K13" s="19"/>
      <c r="L13" s="18">
        <v>0</v>
      </c>
      <c r="M13" s="19" t="s">
        <v>19</v>
      </c>
      <c r="N13" s="21"/>
      <c r="O13" s="22">
        <v>1</v>
      </c>
      <c r="P13" s="23">
        <v>1</v>
      </c>
      <c r="Q13" s="20"/>
    </row>
    <row r="14" spans="2:17" x14ac:dyDescent="0.35">
      <c r="B14" s="18" t="s">
        <v>25</v>
      </c>
      <c r="C14" s="24">
        <v>1</v>
      </c>
      <c r="D14" s="18">
        <v>0</v>
      </c>
      <c r="E14" s="19">
        <v>1</v>
      </c>
      <c r="F14" s="20"/>
      <c r="G14" s="16"/>
      <c r="H14" s="16"/>
      <c r="I14" s="18" t="s">
        <v>26</v>
      </c>
      <c r="J14" s="18">
        <v>0</v>
      </c>
      <c r="K14" s="19"/>
      <c r="L14" s="18">
        <v>1</v>
      </c>
      <c r="M14" s="19">
        <v>1</v>
      </c>
      <c r="N14" s="21"/>
      <c r="O14" s="22">
        <v>1</v>
      </c>
      <c r="P14" s="23">
        <v>1</v>
      </c>
      <c r="Q14" s="20"/>
    </row>
    <row r="15" spans="2:17" x14ac:dyDescent="0.35">
      <c r="B15" s="18" t="s">
        <v>26</v>
      </c>
      <c r="C15" s="24">
        <v>12</v>
      </c>
      <c r="D15" s="18">
        <v>0</v>
      </c>
      <c r="E15" s="19">
        <v>1</v>
      </c>
      <c r="F15" s="20"/>
      <c r="G15" s="16"/>
      <c r="H15" s="16"/>
      <c r="I15" s="18" t="s">
        <v>27</v>
      </c>
      <c r="J15" s="18">
        <v>0</v>
      </c>
      <c r="K15" s="19"/>
      <c r="L15" s="18">
        <v>1</v>
      </c>
      <c r="M15" s="19">
        <v>1</v>
      </c>
      <c r="N15" s="21"/>
      <c r="O15" s="22">
        <v>1</v>
      </c>
      <c r="P15" s="23">
        <v>1</v>
      </c>
      <c r="Q15" s="20"/>
    </row>
    <row r="16" spans="2:17" x14ac:dyDescent="0.35">
      <c r="B16" s="18" t="s">
        <v>27</v>
      </c>
      <c r="C16" s="24">
        <v>0</v>
      </c>
      <c r="D16" s="18">
        <v>0</v>
      </c>
      <c r="E16" s="19" t="s">
        <v>22</v>
      </c>
      <c r="F16" s="20"/>
      <c r="G16" s="16"/>
      <c r="H16" s="16"/>
      <c r="I16" s="18" t="s">
        <v>28</v>
      </c>
      <c r="J16" s="18">
        <v>0</v>
      </c>
      <c r="K16" s="19"/>
      <c r="L16" s="18">
        <v>1</v>
      </c>
      <c r="M16" s="19">
        <v>1</v>
      </c>
      <c r="N16" s="21"/>
      <c r="O16" s="22">
        <v>1</v>
      </c>
      <c r="P16" s="23">
        <v>1</v>
      </c>
      <c r="Q16" s="20"/>
    </row>
    <row r="17" spans="2:17" x14ac:dyDescent="0.35">
      <c r="B17" s="18" t="s">
        <v>28</v>
      </c>
      <c r="C17" s="24">
        <v>14</v>
      </c>
      <c r="D17" s="18">
        <v>0</v>
      </c>
      <c r="E17" s="19">
        <v>1</v>
      </c>
      <c r="F17" s="20"/>
      <c r="G17" s="16"/>
      <c r="H17" s="16"/>
      <c r="I17" s="18" t="s">
        <v>29</v>
      </c>
      <c r="J17" s="18">
        <v>0</v>
      </c>
      <c r="K17" s="19"/>
      <c r="L17" s="18">
        <v>1</v>
      </c>
      <c r="M17" s="19">
        <v>1</v>
      </c>
      <c r="N17" s="21"/>
      <c r="O17" s="22">
        <v>1</v>
      </c>
      <c r="P17" s="23">
        <v>1</v>
      </c>
      <c r="Q17" s="20"/>
    </row>
    <row r="18" spans="2:17" x14ac:dyDescent="0.35">
      <c r="B18" s="18" t="s">
        <v>29</v>
      </c>
      <c r="C18" s="24">
        <v>1</v>
      </c>
      <c r="D18" s="18">
        <v>0</v>
      </c>
      <c r="E18" s="19">
        <v>1</v>
      </c>
      <c r="F18" s="20"/>
      <c r="G18" s="16"/>
      <c r="H18" s="16"/>
      <c r="I18" s="18" t="s">
        <v>30</v>
      </c>
      <c r="J18" s="18">
        <v>0</v>
      </c>
      <c r="K18" s="19"/>
      <c r="L18" s="18">
        <v>1</v>
      </c>
      <c r="M18" s="19">
        <v>1</v>
      </c>
      <c r="N18" s="21"/>
      <c r="O18" s="22">
        <v>1</v>
      </c>
      <c r="P18" s="23">
        <v>1</v>
      </c>
      <c r="Q18" s="20"/>
    </row>
    <row r="19" spans="2:17" x14ac:dyDescent="0.35">
      <c r="B19" s="18" t="s">
        <v>30</v>
      </c>
      <c r="C19" s="24">
        <v>1</v>
      </c>
      <c r="D19" s="18">
        <v>0</v>
      </c>
      <c r="E19" s="19">
        <v>1</v>
      </c>
      <c r="F19" s="20"/>
      <c r="G19" s="16"/>
      <c r="H19" s="16"/>
      <c r="I19" s="18" t="s">
        <v>31</v>
      </c>
      <c r="J19" s="18">
        <v>0</v>
      </c>
      <c r="K19" s="19"/>
      <c r="L19" s="18">
        <v>1</v>
      </c>
      <c r="M19" s="19">
        <v>1</v>
      </c>
      <c r="N19" s="21"/>
      <c r="O19" s="22">
        <v>1</v>
      </c>
      <c r="P19" s="23">
        <v>1</v>
      </c>
      <c r="Q19" s="20"/>
    </row>
    <row r="20" spans="2:17" x14ac:dyDescent="0.35">
      <c r="B20" s="18" t="s">
        <v>31</v>
      </c>
      <c r="C20" s="24">
        <v>4</v>
      </c>
      <c r="D20" s="18">
        <v>0</v>
      </c>
      <c r="E20" s="19">
        <v>1</v>
      </c>
      <c r="F20" s="20"/>
      <c r="G20" s="16"/>
      <c r="H20" s="16"/>
      <c r="I20" s="18" t="s">
        <v>32</v>
      </c>
      <c r="J20" s="18">
        <v>0</v>
      </c>
      <c r="K20" s="19"/>
      <c r="L20" s="18">
        <v>1</v>
      </c>
      <c r="M20" s="19">
        <v>1</v>
      </c>
      <c r="N20" s="21"/>
      <c r="O20" s="22">
        <v>1</v>
      </c>
      <c r="P20" s="23">
        <v>1</v>
      </c>
      <c r="Q20" s="20"/>
    </row>
    <row r="21" spans="2:17" x14ac:dyDescent="0.35">
      <c r="B21" s="18" t="s">
        <v>32</v>
      </c>
      <c r="C21" s="24">
        <v>0</v>
      </c>
      <c r="D21" s="18">
        <v>0</v>
      </c>
      <c r="E21" s="19" t="s">
        <v>22</v>
      </c>
      <c r="F21" s="20"/>
      <c r="G21" s="16"/>
      <c r="H21" s="16"/>
      <c r="I21" s="18" t="s">
        <v>33</v>
      </c>
      <c r="J21" s="18">
        <v>0</v>
      </c>
      <c r="K21" s="19"/>
      <c r="L21" s="18">
        <v>1</v>
      </c>
      <c r="M21" s="19">
        <v>1</v>
      </c>
      <c r="N21" s="21"/>
      <c r="O21" s="22">
        <v>1</v>
      </c>
      <c r="P21" s="23">
        <v>1</v>
      </c>
      <c r="Q21" s="20"/>
    </row>
    <row r="22" spans="2:17" x14ac:dyDescent="0.35">
      <c r="B22" s="18" t="s">
        <v>33</v>
      </c>
      <c r="C22" s="24">
        <v>20</v>
      </c>
      <c r="D22" s="18">
        <v>0</v>
      </c>
      <c r="E22" s="19">
        <v>1</v>
      </c>
      <c r="F22" s="20"/>
      <c r="G22" s="16"/>
      <c r="H22" s="16"/>
      <c r="I22" s="18" t="s">
        <v>34</v>
      </c>
      <c r="J22" s="18">
        <v>0</v>
      </c>
      <c r="K22" s="19"/>
      <c r="L22" s="18">
        <v>0</v>
      </c>
      <c r="M22" s="19" t="s">
        <v>19</v>
      </c>
      <c r="N22" s="21"/>
      <c r="O22" s="22">
        <v>1</v>
      </c>
      <c r="P22" s="23">
        <v>1</v>
      </c>
      <c r="Q22" s="20"/>
    </row>
    <row r="23" spans="2:17" x14ac:dyDescent="0.35">
      <c r="B23" s="18" t="s">
        <v>35</v>
      </c>
      <c r="C23" s="24">
        <v>3</v>
      </c>
      <c r="D23" s="18">
        <v>0</v>
      </c>
      <c r="E23" s="19">
        <v>1</v>
      </c>
      <c r="F23" s="20"/>
      <c r="G23" s="16"/>
      <c r="H23" s="16"/>
      <c r="I23" s="18" t="s">
        <v>35</v>
      </c>
      <c r="J23" s="18">
        <v>0</v>
      </c>
      <c r="K23" s="19"/>
      <c r="L23" s="18">
        <v>0</v>
      </c>
      <c r="M23" s="19" t="s">
        <v>19</v>
      </c>
      <c r="N23" s="21"/>
      <c r="O23" s="22">
        <v>1</v>
      </c>
      <c r="P23" s="23">
        <v>1</v>
      </c>
      <c r="Q23" s="20"/>
    </row>
    <row r="24" spans="2:17" x14ac:dyDescent="0.35">
      <c r="B24" s="18" t="s">
        <v>36</v>
      </c>
      <c r="C24" s="24">
        <v>14</v>
      </c>
      <c r="D24" s="18">
        <v>0</v>
      </c>
      <c r="E24" s="19">
        <v>1</v>
      </c>
      <c r="F24" s="20"/>
      <c r="G24" s="16"/>
      <c r="H24" s="16"/>
      <c r="I24" s="18" t="s">
        <v>36</v>
      </c>
      <c r="J24" s="18">
        <v>0</v>
      </c>
      <c r="K24" s="19"/>
      <c r="L24" s="18">
        <v>1</v>
      </c>
      <c r="M24" s="19">
        <v>1</v>
      </c>
      <c r="N24" s="21"/>
      <c r="O24" s="22">
        <v>1</v>
      </c>
      <c r="P24" s="23">
        <v>1</v>
      </c>
      <c r="Q24" s="20"/>
    </row>
    <row r="25" spans="2:17" x14ac:dyDescent="0.35">
      <c r="B25" s="18" t="s">
        <v>37</v>
      </c>
      <c r="C25" s="24">
        <v>0</v>
      </c>
      <c r="D25" s="18">
        <v>0</v>
      </c>
      <c r="E25" s="19" t="s">
        <v>22</v>
      </c>
      <c r="F25" s="20"/>
      <c r="G25" s="16"/>
      <c r="H25" s="16"/>
      <c r="I25" s="18" t="s">
        <v>37</v>
      </c>
      <c r="J25" s="18">
        <v>0</v>
      </c>
      <c r="K25" s="19"/>
      <c r="L25" s="18">
        <v>1</v>
      </c>
      <c r="M25" s="19">
        <v>1</v>
      </c>
      <c r="N25" s="21"/>
      <c r="O25" s="22">
        <v>1</v>
      </c>
      <c r="P25" s="23">
        <v>1</v>
      </c>
      <c r="Q25" s="20"/>
    </row>
    <row r="26" spans="2:17" x14ac:dyDescent="0.35">
      <c r="B26" s="18" t="s">
        <v>38</v>
      </c>
      <c r="C26" s="24">
        <v>17</v>
      </c>
      <c r="D26" s="18">
        <v>0</v>
      </c>
      <c r="E26" s="19">
        <v>1</v>
      </c>
      <c r="F26" s="20"/>
      <c r="G26" s="16"/>
      <c r="H26" s="16"/>
      <c r="I26" s="18" t="s">
        <v>38</v>
      </c>
      <c r="J26" s="18">
        <v>0</v>
      </c>
      <c r="K26" s="19"/>
      <c r="L26" s="18">
        <v>0</v>
      </c>
      <c r="M26" s="19" t="s">
        <v>19</v>
      </c>
      <c r="N26" s="21"/>
      <c r="O26" s="22">
        <v>1</v>
      </c>
      <c r="P26" s="23">
        <v>1</v>
      </c>
      <c r="Q26" s="20"/>
    </row>
    <row r="27" spans="2:17" x14ac:dyDescent="0.35">
      <c r="B27" s="18" t="s">
        <v>39</v>
      </c>
      <c r="C27" s="24">
        <v>0</v>
      </c>
      <c r="D27" s="18">
        <v>0</v>
      </c>
      <c r="E27" s="19" t="s">
        <v>22</v>
      </c>
      <c r="F27" s="20"/>
      <c r="G27" s="16"/>
      <c r="H27" s="16"/>
      <c r="I27" s="18" t="s">
        <v>39</v>
      </c>
      <c r="J27" s="18">
        <v>0</v>
      </c>
      <c r="K27" s="19"/>
      <c r="L27" s="18">
        <v>0</v>
      </c>
      <c r="M27" s="19" t="s">
        <v>19</v>
      </c>
      <c r="N27" s="21"/>
      <c r="O27" s="22">
        <v>1</v>
      </c>
      <c r="P27" s="23">
        <v>1</v>
      </c>
      <c r="Q27" s="20"/>
    </row>
    <row r="28" spans="2:17" x14ac:dyDescent="0.35">
      <c r="B28" s="18" t="s">
        <v>40</v>
      </c>
      <c r="C28" s="24">
        <v>0</v>
      </c>
      <c r="D28" s="18">
        <v>0</v>
      </c>
      <c r="E28" s="19" t="s">
        <v>22</v>
      </c>
      <c r="F28" s="20"/>
      <c r="G28" s="8"/>
      <c r="H28" s="16"/>
      <c r="I28" s="18" t="s">
        <v>40</v>
      </c>
      <c r="J28" s="18">
        <v>0</v>
      </c>
      <c r="K28" s="19"/>
      <c r="L28" s="18">
        <v>1</v>
      </c>
      <c r="M28" s="19">
        <v>1</v>
      </c>
      <c r="N28" s="21"/>
      <c r="O28" s="22">
        <v>1</v>
      </c>
      <c r="P28" s="23">
        <v>1</v>
      </c>
      <c r="Q28" s="20"/>
    </row>
    <row r="29" spans="2:17" x14ac:dyDescent="0.35">
      <c r="B29" s="18" t="s">
        <v>41</v>
      </c>
      <c r="C29" s="24">
        <v>0</v>
      </c>
      <c r="D29" s="18">
        <v>0</v>
      </c>
      <c r="E29" s="19" t="s">
        <v>22</v>
      </c>
      <c r="F29" s="20"/>
      <c r="G29" s="16"/>
      <c r="H29" s="16"/>
      <c r="I29" s="18" t="s">
        <v>41</v>
      </c>
      <c r="J29" s="18">
        <v>0</v>
      </c>
      <c r="K29" s="19"/>
      <c r="L29" s="18">
        <v>1</v>
      </c>
      <c r="M29" s="19">
        <v>1</v>
      </c>
      <c r="N29" s="21"/>
      <c r="O29" s="22">
        <v>1</v>
      </c>
      <c r="P29" s="23">
        <v>1</v>
      </c>
      <c r="Q29" s="20"/>
    </row>
    <row r="30" spans="2:17" x14ac:dyDescent="0.35">
      <c r="B30" s="18" t="s">
        <v>42</v>
      </c>
      <c r="C30" s="24">
        <v>0</v>
      </c>
      <c r="D30" s="18">
        <v>0</v>
      </c>
      <c r="E30" s="19" t="s">
        <v>22</v>
      </c>
      <c r="F30" s="20"/>
      <c r="G30" s="16"/>
      <c r="H30" s="16"/>
      <c r="I30" s="18" t="s">
        <v>42</v>
      </c>
      <c r="J30" s="18">
        <v>0</v>
      </c>
      <c r="K30" s="19"/>
      <c r="L30" s="18">
        <v>0</v>
      </c>
      <c r="M30" s="19" t="s">
        <v>19</v>
      </c>
      <c r="N30" s="21"/>
      <c r="O30" s="22">
        <v>1</v>
      </c>
      <c r="P30" s="23">
        <v>1</v>
      </c>
      <c r="Q30" s="20"/>
    </row>
    <row r="31" spans="2:17" x14ac:dyDescent="0.35">
      <c r="B31" s="18" t="s">
        <v>43</v>
      </c>
      <c r="C31" s="24">
        <v>7</v>
      </c>
      <c r="D31" s="18">
        <v>0</v>
      </c>
      <c r="E31" s="19">
        <v>1</v>
      </c>
      <c r="F31" s="20"/>
      <c r="G31" s="16"/>
      <c r="H31" s="16"/>
      <c r="I31" s="18" t="s">
        <v>43</v>
      </c>
      <c r="J31" s="18">
        <v>0</v>
      </c>
      <c r="K31" s="19"/>
      <c r="L31" s="18">
        <v>1</v>
      </c>
      <c r="M31" s="19">
        <v>1</v>
      </c>
      <c r="N31" s="21"/>
      <c r="O31" s="22">
        <v>1</v>
      </c>
      <c r="P31" s="23">
        <v>1</v>
      </c>
      <c r="Q31" s="20"/>
    </row>
    <row r="32" spans="2:17" x14ac:dyDescent="0.35">
      <c r="B32" s="18" t="s">
        <v>44</v>
      </c>
      <c r="C32" s="24">
        <v>16</v>
      </c>
      <c r="D32" s="18">
        <v>1</v>
      </c>
      <c r="E32" s="19">
        <v>0.94</v>
      </c>
      <c r="F32" s="20"/>
      <c r="G32" s="16"/>
      <c r="H32" s="16"/>
      <c r="I32" s="18" t="s">
        <v>44</v>
      </c>
      <c r="J32" s="18">
        <v>0</v>
      </c>
      <c r="K32" s="19"/>
      <c r="L32" s="18">
        <v>1</v>
      </c>
      <c r="M32" s="19">
        <v>1</v>
      </c>
      <c r="N32" s="21"/>
      <c r="O32" s="22">
        <v>1</v>
      </c>
      <c r="P32" s="23">
        <v>1</v>
      </c>
      <c r="Q32" s="20"/>
    </row>
    <row r="33" spans="2:17" x14ac:dyDescent="0.35">
      <c r="B33" s="18" t="s">
        <v>45</v>
      </c>
      <c r="C33" s="24">
        <v>0</v>
      </c>
      <c r="D33" s="18">
        <v>0</v>
      </c>
      <c r="E33" s="19" t="s">
        <v>22</v>
      </c>
      <c r="F33" s="20"/>
      <c r="G33" s="16"/>
      <c r="H33" s="16"/>
      <c r="I33" s="18" t="s">
        <v>45</v>
      </c>
      <c r="J33" s="18">
        <v>0</v>
      </c>
      <c r="K33" s="19"/>
      <c r="L33" s="18">
        <v>1</v>
      </c>
      <c r="M33" s="19">
        <v>1</v>
      </c>
      <c r="N33" s="21"/>
      <c r="O33" s="22">
        <v>1</v>
      </c>
      <c r="P33" s="23">
        <v>1</v>
      </c>
      <c r="Q33" s="20"/>
    </row>
    <row r="34" spans="2:17" x14ac:dyDescent="0.35">
      <c r="B34" s="18" t="s">
        <v>46</v>
      </c>
      <c r="C34" s="24">
        <v>15</v>
      </c>
      <c r="D34" s="18">
        <v>0</v>
      </c>
      <c r="E34" s="19">
        <v>1</v>
      </c>
      <c r="F34" s="20"/>
      <c r="G34" s="16"/>
      <c r="H34" s="16"/>
      <c r="I34" s="18" t="s">
        <v>46</v>
      </c>
      <c r="J34" s="18">
        <v>0</v>
      </c>
      <c r="K34" s="19"/>
      <c r="L34" s="18">
        <v>1</v>
      </c>
      <c r="M34" s="19">
        <v>1</v>
      </c>
      <c r="N34" s="21"/>
      <c r="O34" s="22">
        <v>1</v>
      </c>
      <c r="P34" s="23">
        <v>1</v>
      </c>
      <c r="Q34" s="20"/>
    </row>
    <row r="35" spans="2:17" x14ac:dyDescent="0.35">
      <c r="B35" s="18" t="s">
        <v>47</v>
      </c>
      <c r="C35" s="1">
        <v>21</v>
      </c>
      <c r="D35" s="18">
        <v>0</v>
      </c>
      <c r="E35" s="19">
        <v>1</v>
      </c>
      <c r="F35" s="20"/>
      <c r="G35" s="16"/>
      <c r="H35" s="16"/>
      <c r="I35" s="18" t="s">
        <v>47</v>
      </c>
      <c r="J35" s="18">
        <v>0</v>
      </c>
      <c r="K35" s="19"/>
      <c r="L35" s="18">
        <v>2</v>
      </c>
      <c r="M35" s="19">
        <v>1</v>
      </c>
      <c r="N35" s="21"/>
      <c r="O35" s="22">
        <v>1</v>
      </c>
      <c r="P35" s="23">
        <v>1</v>
      </c>
      <c r="Q35" s="20"/>
    </row>
    <row r="36" spans="2:17" x14ac:dyDescent="0.35">
      <c r="B36" s="18" t="s">
        <v>48</v>
      </c>
      <c r="C36" s="24">
        <v>158</v>
      </c>
      <c r="D36" s="18">
        <v>3</v>
      </c>
      <c r="E36" s="19">
        <v>0.98</v>
      </c>
      <c r="F36" s="20"/>
      <c r="G36" s="16"/>
      <c r="H36" s="16"/>
      <c r="I36" s="18" t="s">
        <v>48</v>
      </c>
      <c r="J36" s="18">
        <v>0</v>
      </c>
      <c r="K36" s="19"/>
      <c r="L36" s="18">
        <v>1</v>
      </c>
      <c r="M36" s="19">
        <v>1</v>
      </c>
      <c r="N36" s="21"/>
      <c r="O36" s="22">
        <v>1</v>
      </c>
      <c r="P36" s="23">
        <v>1</v>
      </c>
      <c r="Q36" s="20"/>
    </row>
    <row r="37" spans="2:17" x14ac:dyDescent="0.35">
      <c r="B37" s="18" t="s">
        <v>49</v>
      </c>
      <c r="C37" s="18">
        <v>304</v>
      </c>
      <c r="D37" s="18">
        <v>8</v>
      </c>
      <c r="E37" s="19">
        <v>0.97</v>
      </c>
      <c r="F37" s="20" t="s">
        <v>50</v>
      </c>
      <c r="H37" s="16"/>
      <c r="I37" s="18" t="s">
        <v>49</v>
      </c>
      <c r="J37" s="18">
        <v>0</v>
      </c>
      <c r="K37" s="19"/>
      <c r="L37" s="18">
        <v>4</v>
      </c>
      <c r="M37" s="19">
        <v>1</v>
      </c>
      <c r="N37" s="21"/>
      <c r="O37" s="22">
        <v>1</v>
      </c>
      <c r="P37" s="23">
        <v>1</v>
      </c>
      <c r="Q37" s="20"/>
    </row>
    <row r="38" spans="2:17" x14ac:dyDescent="0.35">
      <c r="B38" s="18" t="s">
        <v>51</v>
      </c>
      <c r="C38" s="24">
        <v>3</v>
      </c>
      <c r="D38" s="18">
        <v>0</v>
      </c>
      <c r="E38" s="19">
        <v>1</v>
      </c>
      <c r="F38" s="20"/>
      <c r="G38" s="16"/>
      <c r="H38" s="16"/>
      <c r="I38" s="18" t="s">
        <v>51</v>
      </c>
      <c r="J38" s="18">
        <v>0</v>
      </c>
      <c r="K38" s="19"/>
      <c r="L38" s="18">
        <v>1</v>
      </c>
      <c r="M38" s="19">
        <v>1</v>
      </c>
      <c r="N38" s="21"/>
      <c r="O38" s="22">
        <v>1</v>
      </c>
      <c r="P38" s="23">
        <v>1</v>
      </c>
      <c r="Q38" s="20"/>
    </row>
    <row r="39" spans="2:17" x14ac:dyDescent="0.35">
      <c r="B39" s="18" t="s">
        <v>52</v>
      </c>
      <c r="C39" s="24">
        <v>3</v>
      </c>
      <c r="D39" s="18">
        <v>0</v>
      </c>
      <c r="E39" s="19">
        <v>1</v>
      </c>
      <c r="F39" s="20"/>
      <c r="G39" s="16"/>
      <c r="H39" s="16"/>
      <c r="I39" s="18" t="s">
        <v>52</v>
      </c>
      <c r="J39" s="18">
        <v>0</v>
      </c>
      <c r="K39" s="18"/>
      <c r="L39" s="18">
        <v>1</v>
      </c>
      <c r="M39" s="19">
        <v>1</v>
      </c>
      <c r="N39" s="21"/>
      <c r="O39" s="22">
        <v>1</v>
      </c>
      <c r="P39" s="23">
        <v>1</v>
      </c>
      <c r="Q39" s="20"/>
    </row>
    <row r="40" spans="2:17" x14ac:dyDescent="0.35">
      <c r="B40" s="18" t="s">
        <v>53</v>
      </c>
      <c r="C40" s="24">
        <v>1</v>
      </c>
      <c r="D40" s="18">
        <v>0</v>
      </c>
      <c r="E40" s="19">
        <v>1</v>
      </c>
      <c r="F40" s="20"/>
      <c r="G40" s="16"/>
      <c r="H40" s="16"/>
      <c r="I40" s="18" t="s">
        <v>53</v>
      </c>
      <c r="J40" s="18">
        <v>0</v>
      </c>
      <c r="K40" s="18"/>
      <c r="L40" s="18">
        <v>1</v>
      </c>
      <c r="M40" s="19">
        <v>1</v>
      </c>
      <c r="N40" s="21"/>
      <c r="O40" s="22">
        <v>1</v>
      </c>
      <c r="P40" s="23">
        <v>1</v>
      </c>
      <c r="Q40" s="20"/>
    </row>
    <row r="41" spans="2:17" x14ac:dyDescent="0.35">
      <c r="B41" s="18" t="s">
        <v>54</v>
      </c>
      <c r="C41" s="24">
        <v>24</v>
      </c>
      <c r="D41" s="18">
        <v>0</v>
      </c>
      <c r="E41" s="19">
        <v>1</v>
      </c>
      <c r="F41" s="20"/>
      <c r="G41" s="16"/>
      <c r="H41" s="16"/>
      <c r="I41" s="18" t="s">
        <v>54</v>
      </c>
      <c r="J41" s="18">
        <v>0</v>
      </c>
      <c r="K41" s="18"/>
      <c r="L41" s="18">
        <v>1</v>
      </c>
      <c r="M41" s="19">
        <v>1</v>
      </c>
      <c r="N41" s="21"/>
      <c r="O41" s="22">
        <v>1</v>
      </c>
      <c r="P41" s="23">
        <v>1</v>
      </c>
      <c r="Q41" s="20"/>
    </row>
    <row r="42" spans="2:17" x14ac:dyDescent="0.35">
      <c r="B42" s="18" t="s">
        <v>55</v>
      </c>
      <c r="C42" s="24">
        <v>0</v>
      </c>
      <c r="D42" s="18">
        <v>0</v>
      </c>
      <c r="E42" s="19" t="s">
        <v>22</v>
      </c>
      <c r="F42" s="20"/>
      <c r="G42" s="16"/>
      <c r="H42" s="16"/>
      <c r="I42" s="18" t="s">
        <v>55</v>
      </c>
      <c r="J42" s="18">
        <v>0</v>
      </c>
      <c r="K42" s="18"/>
      <c r="L42" s="18">
        <v>1</v>
      </c>
      <c r="M42" s="19">
        <v>1</v>
      </c>
      <c r="N42" s="21"/>
      <c r="O42" s="22">
        <v>1</v>
      </c>
      <c r="P42" s="23">
        <v>1</v>
      </c>
      <c r="Q42" s="20"/>
    </row>
    <row r="43" spans="2:17" x14ac:dyDescent="0.35">
      <c r="B43" s="18" t="s">
        <v>56</v>
      </c>
      <c r="C43" s="24">
        <v>0</v>
      </c>
      <c r="D43" s="18">
        <v>0</v>
      </c>
      <c r="E43" s="19" t="s">
        <v>22</v>
      </c>
      <c r="F43" s="20"/>
      <c r="H43" s="16"/>
      <c r="I43" s="18" t="s">
        <v>56</v>
      </c>
      <c r="J43" s="18">
        <v>0</v>
      </c>
      <c r="K43" s="18"/>
      <c r="L43" s="18">
        <v>1</v>
      </c>
      <c r="M43" s="19">
        <v>1</v>
      </c>
      <c r="N43" s="21"/>
      <c r="O43" s="22">
        <v>1</v>
      </c>
      <c r="P43" s="23">
        <v>1</v>
      </c>
      <c r="Q43" s="20"/>
    </row>
    <row r="44" spans="2:17" x14ac:dyDescent="0.35">
      <c r="B44" s="18" t="s">
        <v>57</v>
      </c>
      <c r="C44" s="24">
        <v>38</v>
      </c>
      <c r="D44" s="18">
        <v>1</v>
      </c>
      <c r="E44" s="19">
        <v>0.97</v>
      </c>
      <c r="F44" s="20"/>
      <c r="H44" s="16"/>
      <c r="I44" s="18" t="s">
        <v>57</v>
      </c>
      <c r="J44" s="18">
        <v>0</v>
      </c>
      <c r="K44" s="18"/>
      <c r="L44" s="18">
        <v>1</v>
      </c>
      <c r="M44" s="19">
        <v>1</v>
      </c>
      <c r="N44" s="21"/>
      <c r="O44" s="22">
        <v>1</v>
      </c>
      <c r="P44" s="23">
        <v>1</v>
      </c>
      <c r="Q44" s="20"/>
    </row>
    <row r="45" spans="2:17" x14ac:dyDescent="0.35">
      <c r="B45" s="18" t="s">
        <v>58</v>
      </c>
      <c r="C45" s="24">
        <v>0</v>
      </c>
      <c r="D45" s="18">
        <v>0</v>
      </c>
      <c r="E45" s="19" t="s">
        <v>22</v>
      </c>
      <c r="F45" s="20"/>
      <c r="H45" s="16"/>
      <c r="I45" s="18" t="s">
        <v>58</v>
      </c>
      <c r="J45" s="18">
        <v>0</v>
      </c>
      <c r="K45" s="18"/>
      <c r="L45" s="18">
        <v>0</v>
      </c>
      <c r="M45" s="19" t="s">
        <v>19</v>
      </c>
      <c r="N45" s="21"/>
      <c r="O45" s="22">
        <v>1</v>
      </c>
      <c r="P45" s="23">
        <v>1</v>
      </c>
      <c r="Q45" s="20"/>
    </row>
    <row r="46" spans="2:17" x14ac:dyDescent="0.35">
      <c r="B46" s="18" t="s">
        <v>59</v>
      </c>
      <c r="C46" s="24">
        <v>2</v>
      </c>
      <c r="D46" s="18">
        <v>0</v>
      </c>
      <c r="E46" s="19">
        <v>1</v>
      </c>
      <c r="F46" s="20"/>
      <c r="H46" s="16"/>
      <c r="I46" s="18" t="s">
        <v>59</v>
      </c>
      <c r="J46" s="18">
        <v>0</v>
      </c>
      <c r="K46" s="18"/>
      <c r="L46" s="18">
        <v>1</v>
      </c>
      <c r="M46" s="19">
        <v>1</v>
      </c>
      <c r="N46" s="21"/>
      <c r="O46" s="22">
        <v>1</v>
      </c>
      <c r="P46" s="23">
        <v>1</v>
      </c>
      <c r="Q46" s="20"/>
    </row>
    <row r="47" spans="2:17" x14ac:dyDescent="0.35">
      <c r="B47" s="18" t="s">
        <v>60</v>
      </c>
      <c r="C47" s="24">
        <v>4</v>
      </c>
      <c r="D47" s="18">
        <v>0</v>
      </c>
      <c r="E47" s="19">
        <v>1</v>
      </c>
      <c r="F47" s="20"/>
      <c r="I47" s="18" t="s">
        <v>60</v>
      </c>
      <c r="J47" s="18">
        <v>0</v>
      </c>
      <c r="K47" s="18"/>
      <c r="L47" s="18">
        <v>1</v>
      </c>
      <c r="M47" s="19">
        <v>1</v>
      </c>
      <c r="N47" s="21"/>
      <c r="O47" s="22">
        <v>1</v>
      </c>
      <c r="P47" s="23">
        <v>1</v>
      </c>
      <c r="Q47" s="20"/>
    </row>
    <row r="48" spans="2:17" x14ac:dyDescent="0.35">
      <c r="B48" s="18" t="s">
        <v>61</v>
      </c>
      <c r="C48" s="24">
        <v>6</v>
      </c>
      <c r="D48" s="18">
        <v>0</v>
      </c>
      <c r="E48" s="19">
        <v>1</v>
      </c>
      <c r="F48" s="20"/>
      <c r="I48" s="18" t="s">
        <v>61</v>
      </c>
      <c r="J48" s="18">
        <v>0</v>
      </c>
      <c r="K48" s="18"/>
      <c r="L48" s="18">
        <v>1</v>
      </c>
      <c r="M48" s="19">
        <v>1</v>
      </c>
      <c r="N48" s="21"/>
      <c r="O48" s="22">
        <v>1</v>
      </c>
      <c r="P48" s="23">
        <v>1</v>
      </c>
      <c r="Q48" s="20"/>
    </row>
    <row r="49" spans="2:17" x14ac:dyDescent="0.35">
      <c r="B49" s="18" t="s">
        <v>62</v>
      </c>
      <c r="C49" s="24">
        <v>1</v>
      </c>
      <c r="D49" s="18">
        <v>0</v>
      </c>
      <c r="E49" s="19">
        <v>1</v>
      </c>
      <c r="F49" s="20"/>
      <c r="I49" s="18" t="s">
        <v>62</v>
      </c>
      <c r="J49" s="18">
        <v>0</v>
      </c>
      <c r="K49" s="18"/>
      <c r="L49" s="18">
        <v>1</v>
      </c>
      <c r="M49" s="19">
        <v>1</v>
      </c>
      <c r="N49" s="21"/>
      <c r="O49" s="22">
        <v>1</v>
      </c>
      <c r="P49" s="23">
        <v>1</v>
      </c>
      <c r="Q49" s="20"/>
    </row>
    <row r="50" spans="2:17" x14ac:dyDescent="0.35">
      <c r="B50" s="18" t="s">
        <v>63</v>
      </c>
      <c r="C50" s="24">
        <v>1</v>
      </c>
      <c r="D50" s="18">
        <v>0</v>
      </c>
      <c r="E50" s="19">
        <v>1</v>
      </c>
      <c r="F50" s="20"/>
      <c r="I50" s="18" t="s">
        <v>63</v>
      </c>
      <c r="J50" s="18">
        <v>0</v>
      </c>
      <c r="K50" s="18"/>
      <c r="L50" s="18">
        <v>1</v>
      </c>
      <c r="M50" s="19">
        <v>1</v>
      </c>
      <c r="N50" s="21"/>
      <c r="O50" s="22">
        <v>1</v>
      </c>
      <c r="P50" s="23">
        <v>1</v>
      </c>
      <c r="Q50" s="20"/>
    </row>
    <row r="51" spans="2:17" x14ac:dyDescent="0.35">
      <c r="B51" s="18" t="s">
        <v>64</v>
      </c>
      <c r="C51" s="24">
        <v>4</v>
      </c>
      <c r="D51" s="18">
        <v>0</v>
      </c>
      <c r="E51" s="19">
        <v>1</v>
      </c>
      <c r="F51" s="20"/>
      <c r="I51" s="18" t="s">
        <v>64</v>
      </c>
      <c r="J51" s="18">
        <v>0</v>
      </c>
      <c r="K51" s="18"/>
      <c r="L51" s="18">
        <v>2</v>
      </c>
      <c r="M51" s="19">
        <v>1</v>
      </c>
      <c r="N51" s="18"/>
      <c r="O51" s="22">
        <v>1</v>
      </c>
      <c r="P51" s="23">
        <v>1</v>
      </c>
      <c r="Q51" s="20"/>
    </row>
    <row r="52" spans="2:17" x14ac:dyDescent="0.35">
      <c r="B52" s="18" t="s">
        <v>65</v>
      </c>
      <c r="C52" s="18">
        <v>43</v>
      </c>
      <c r="D52" s="18">
        <v>1</v>
      </c>
      <c r="E52" s="19">
        <v>0.98</v>
      </c>
      <c r="F52" s="20"/>
      <c r="I52" s="18" t="s">
        <v>65</v>
      </c>
      <c r="J52" s="18">
        <v>0</v>
      </c>
      <c r="K52" s="18"/>
      <c r="L52" s="18">
        <v>2</v>
      </c>
      <c r="M52" s="19">
        <v>1</v>
      </c>
      <c r="N52" s="18"/>
      <c r="O52" s="22">
        <v>1</v>
      </c>
      <c r="P52" s="23">
        <v>1</v>
      </c>
      <c r="Q52" s="20"/>
    </row>
    <row r="53" spans="2:17" x14ac:dyDescent="0.35">
      <c r="B53" s="18" t="s">
        <v>66</v>
      </c>
      <c r="C53" s="18">
        <v>8</v>
      </c>
      <c r="D53" s="18">
        <v>1</v>
      </c>
      <c r="E53" s="19">
        <v>0.89</v>
      </c>
      <c r="F53" s="20"/>
      <c r="I53" s="18" t="s">
        <v>66</v>
      </c>
      <c r="J53" s="18">
        <v>0</v>
      </c>
      <c r="K53" s="18"/>
      <c r="L53" s="18">
        <v>0</v>
      </c>
      <c r="M53" s="19" t="s">
        <v>19</v>
      </c>
      <c r="N53" s="18"/>
      <c r="O53" s="22">
        <v>1</v>
      </c>
      <c r="P53" s="23">
        <v>1</v>
      </c>
      <c r="Q53" s="20"/>
    </row>
    <row r="54" spans="2:17" x14ac:dyDescent="0.35">
      <c r="B54" s="18" t="s">
        <v>67</v>
      </c>
      <c r="C54" s="18">
        <v>20</v>
      </c>
      <c r="D54" s="18">
        <v>0</v>
      </c>
      <c r="E54" s="19">
        <v>1</v>
      </c>
      <c r="F54" s="20"/>
      <c r="I54" s="18" t="s">
        <v>67</v>
      </c>
      <c r="J54" s="18">
        <v>0</v>
      </c>
      <c r="K54" s="18"/>
      <c r="L54" s="18">
        <v>1</v>
      </c>
      <c r="M54" s="19">
        <v>1</v>
      </c>
      <c r="N54" s="18"/>
      <c r="O54" s="22">
        <v>1</v>
      </c>
      <c r="P54" s="23">
        <v>1</v>
      </c>
      <c r="Q54" s="20"/>
    </row>
    <row r="55" spans="2:17" x14ac:dyDescent="0.35">
      <c r="B55" s="18" t="s">
        <v>68</v>
      </c>
      <c r="C55" s="24">
        <v>7</v>
      </c>
      <c r="D55" s="18">
        <v>1</v>
      </c>
      <c r="E55" s="19">
        <v>0.88</v>
      </c>
      <c r="F55" s="20"/>
      <c r="I55" s="18" t="s">
        <v>68</v>
      </c>
      <c r="J55" s="18">
        <v>0</v>
      </c>
      <c r="K55" s="18"/>
      <c r="L55" s="18">
        <v>1</v>
      </c>
      <c r="M55" s="19">
        <v>1</v>
      </c>
      <c r="N55" s="18"/>
      <c r="O55" s="22">
        <v>1</v>
      </c>
      <c r="P55" s="23">
        <v>1</v>
      </c>
      <c r="Q55" s="20"/>
    </row>
    <row r="56" spans="2:17" x14ac:dyDescent="0.35">
      <c r="B56" s="18" t="s">
        <v>69</v>
      </c>
      <c r="C56" s="24">
        <v>0</v>
      </c>
      <c r="D56" s="18">
        <v>0</v>
      </c>
      <c r="E56" s="19" t="s">
        <v>22</v>
      </c>
      <c r="F56" s="20"/>
      <c r="I56" s="18" t="s">
        <v>69</v>
      </c>
      <c r="J56" s="18">
        <v>0</v>
      </c>
      <c r="K56" s="18"/>
      <c r="L56" s="18">
        <v>0</v>
      </c>
      <c r="M56" s="19" t="s">
        <v>19</v>
      </c>
      <c r="N56" s="18"/>
      <c r="O56" s="22">
        <v>1</v>
      </c>
      <c r="P56" s="23">
        <v>1</v>
      </c>
      <c r="Q56" s="20"/>
    </row>
    <row r="57" spans="2:17" x14ac:dyDescent="0.35">
      <c r="B57" s="18" t="s">
        <v>70</v>
      </c>
      <c r="C57" s="24">
        <v>0</v>
      </c>
      <c r="D57" s="18">
        <v>0</v>
      </c>
      <c r="E57" s="19" t="s">
        <v>22</v>
      </c>
      <c r="F57" s="20"/>
      <c r="I57" s="18" t="s">
        <v>70</v>
      </c>
      <c r="J57" s="18">
        <v>0</v>
      </c>
      <c r="K57" s="18"/>
      <c r="L57" s="18">
        <v>1</v>
      </c>
      <c r="M57" s="19">
        <v>1</v>
      </c>
      <c r="N57" s="18"/>
      <c r="O57" s="22">
        <v>1</v>
      </c>
      <c r="P57" s="23">
        <v>1</v>
      </c>
      <c r="Q57" s="20"/>
    </row>
    <row r="58" spans="2:17" x14ac:dyDescent="0.35">
      <c r="B58" s="18" t="s">
        <v>71</v>
      </c>
      <c r="C58" s="18">
        <v>6</v>
      </c>
      <c r="D58" s="18">
        <v>0</v>
      </c>
      <c r="E58" s="19">
        <v>1</v>
      </c>
      <c r="F58" s="20"/>
      <c r="I58" s="18" t="s">
        <v>71</v>
      </c>
      <c r="J58" s="18">
        <v>0</v>
      </c>
      <c r="K58" s="18"/>
      <c r="L58" s="18">
        <v>1</v>
      </c>
      <c r="M58" s="19">
        <v>1</v>
      </c>
      <c r="N58" s="18"/>
      <c r="O58" s="22">
        <v>1</v>
      </c>
      <c r="P58" s="23">
        <v>1</v>
      </c>
      <c r="Q58" s="20"/>
    </row>
    <row r="59" spans="2:17" x14ac:dyDescent="0.35">
      <c r="B59" s="18" t="s">
        <v>72</v>
      </c>
      <c r="C59" s="24">
        <v>3</v>
      </c>
      <c r="D59" s="18">
        <v>0</v>
      </c>
      <c r="E59" s="19">
        <v>1</v>
      </c>
      <c r="F59" s="20"/>
      <c r="I59" s="18" t="s">
        <v>72</v>
      </c>
      <c r="J59" s="18">
        <v>0</v>
      </c>
      <c r="K59" s="18"/>
      <c r="L59" s="18">
        <v>1</v>
      </c>
      <c r="M59" s="19">
        <v>1</v>
      </c>
      <c r="N59" s="18"/>
      <c r="O59" s="22">
        <v>1</v>
      </c>
      <c r="P59" s="23">
        <v>1</v>
      </c>
      <c r="Q59" s="20"/>
    </row>
    <row r="60" spans="2:17" x14ac:dyDescent="0.35">
      <c r="B60" s="18" t="s">
        <v>73</v>
      </c>
      <c r="C60" s="18">
        <v>21</v>
      </c>
      <c r="D60" s="18">
        <v>3</v>
      </c>
      <c r="E60" s="19">
        <v>0.88</v>
      </c>
      <c r="F60" s="20"/>
      <c r="I60" s="18" t="s">
        <v>73</v>
      </c>
      <c r="J60" s="18">
        <v>0</v>
      </c>
      <c r="K60" s="18"/>
      <c r="L60" s="18">
        <v>1</v>
      </c>
      <c r="M60" s="19">
        <v>1</v>
      </c>
      <c r="N60" s="18"/>
      <c r="O60" s="22">
        <v>1</v>
      </c>
      <c r="P60" s="23">
        <v>1</v>
      </c>
      <c r="Q60" s="20"/>
    </row>
    <row r="61" spans="2:17" x14ac:dyDescent="0.35">
      <c r="B61" s="18" t="s">
        <v>74</v>
      </c>
      <c r="C61" s="24">
        <v>0</v>
      </c>
      <c r="D61" s="18">
        <v>0</v>
      </c>
      <c r="E61" s="19" t="s">
        <v>22</v>
      </c>
      <c r="F61" s="20"/>
      <c r="I61" s="18" t="s">
        <v>75</v>
      </c>
      <c r="J61" s="18">
        <v>0</v>
      </c>
      <c r="K61" s="18"/>
      <c r="L61" s="18">
        <v>1</v>
      </c>
      <c r="M61" s="19">
        <v>1</v>
      </c>
      <c r="N61" s="18"/>
      <c r="O61" s="22">
        <v>1</v>
      </c>
      <c r="P61" s="23">
        <v>1</v>
      </c>
      <c r="Q61" s="20"/>
    </row>
    <row r="62" spans="2:17" x14ac:dyDescent="0.35">
      <c r="B62" s="18" t="s">
        <v>76</v>
      </c>
      <c r="C62" s="24">
        <v>0</v>
      </c>
      <c r="D62" s="18">
        <v>0</v>
      </c>
      <c r="E62" s="19" t="s">
        <v>22</v>
      </c>
      <c r="F62" s="20"/>
      <c r="I62" s="18" t="s">
        <v>74</v>
      </c>
      <c r="J62" s="18">
        <v>0</v>
      </c>
      <c r="K62" s="18"/>
      <c r="L62" s="18">
        <v>1</v>
      </c>
      <c r="M62" s="19">
        <v>1</v>
      </c>
      <c r="N62" s="18"/>
      <c r="O62" s="22">
        <v>1</v>
      </c>
      <c r="P62" s="23">
        <v>1</v>
      </c>
      <c r="Q62" s="20"/>
    </row>
    <row r="63" spans="2:17" x14ac:dyDescent="0.35">
      <c r="B63" s="18" t="s">
        <v>77</v>
      </c>
      <c r="C63" s="18">
        <v>12</v>
      </c>
      <c r="D63" s="18">
        <v>0</v>
      </c>
      <c r="E63" s="19">
        <v>1</v>
      </c>
      <c r="F63" s="20"/>
      <c r="I63" s="18" t="s">
        <v>76</v>
      </c>
      <c r="J63" s="18">
        <v>0</v>
      </c>
      <c r="K63" s="18"/>
      <c r="L63" s="18">
        <v>1</v>
      </c>
      <c r="M63" s="19">
        <v>1</v>
      </c>
      <c r="N63" s="18"/>
      <c r="O63" s="22">
        <v>1</v>
      </c>
      <c r="P63" s="23">
        <v>1</v>
      </c>
      <c r="Q63" s="20"/>
    </row>
    <row r="64" spans="2:17" x14ac:dyDescent="0.35">
      <c r="B64" s="18" t="s">
        <v>78</v>
      </c>
      <c r="C64" s="24">
        <v>0</v>
      </c>
      <c r="D64" s="18">
        <v>0</v>
      </c>
      <c r="E64" s="19" t="s">
        <v>22</v>
      </c>
      <c r="F64" s="20"/>
      <c r="I64" s="18" t="s">
        <v>77</v>
      </c>
      <c r="J64" s="18">
        <v>0</v>
      </c>
      <c r="K64" s="18"/>
      <c r="L64" s="18">
        <v>1</v>
      </c>
      <c r="M64" s="19">
        <v>1</v>
      </c>
      <c r="N64" s="18"/>
      <c r="O64" s="22">
        <v>1</v>
      </c>
      <c r="P64" s="23">
        <v>1</v>
      </c>
      <c r="Q64" s="20"/>
    </row>
    <row r="65" spans="2:17" x14ac:dyDescent="0.35">
      <c r="B65" s="18" t="s">
        <v>79</v>
      </c>
      <c r="C65" s="24">
        <v>0</v>
      </c>
      <c r="D65" s="18">
        <v>0</v>
      </c>
      <c r="E65" s="19" t="s">
        <v>22</v>
      </c>
      <c r="F65" s="20"/>
      <c r="I65" s="18" t="s">
        <v>78</v>
      </c>
      <c r="J65" s="18">
        <v>0</v>
      </c>
      <c r="K65" s="18"/>
      <c r="L65" s="18">
        <v>1</v>
      </c>
      <c r="M65" s="19">
        <v>1</v>
      </c>
      <c r="N65" s="18"/>
      <c r="O65" s="22">
        <v>1</v>
      </c>
      <c r="P65" s="23">
        <v>1</v>
      </c>
      <c r="Q65" s="20"/>
    </row>
    <row r="66" spans="2:17" x14ac:dyDescent="0.35">
      <c r="B66" s="18" t="s">
        <v>80</v>
      </c>
      <c r="C66" s="24">
        <v>16</v>
      </c>
      <c r="D66" s="18">
        <v>0</v>
      </c>
      <c r="E66" s="19">
        <v>1</v>
      </c>
      <c r="F66" s="20"/>
      <c r="I66" s="18" t="s">
        <v>79</v>
      </c>
      <c r="J66" s="18">
        <v>0</v>
      </c>
      <c r="K66" s="18"/>
      <c r="L66" s="18">
        <v>0</v>
      </c>
      <c r="M66" s="19" t="s">
        <v>19</v>
      </c>
      <c r="N66" s="18"/>
      <c r="O66" s="22">
        <v>1</v>
      </c>
      <c r="P66" s="23">
        <v>1</v>
      </c>
      <c r="Q66" s="20"/>
    </row>
    <row r="67" spans="2:17" x14ac:dyDescent="0.35">
      <c r="B67" s="18" t="s">
        <v>81</v>
      </c>
      <c r="C67" s="24">
        <v>0</v>
      </c>
      <c r="D67" s="18">
        <v>0</v>
      </c>
      <c r="E67" s="19" t="s">
        <v>82</v>
      </c>
      <c r="F67" s="20"/>
      <c r="I67" s="18" t="s">
        <v>80</v>
      </c>
      <c r="J67" s="18">
        <v>0</v>
      </c>
      <c r="K67" s="18"/>
      <c r="L67" s="18">
        <v>1</v>
      </c>
      <c r="M67" s="19">
        <v>1</v>
      </c>
      <c r="N67" s="18"/>
      <c r="O67" s="22">
        <v>1</v>
      </c>
      <c r="P67" s="23">
        <v>1</v>
      </c>
      <c r="Q67" s="20"/>
    </row>
    <row r="68" spans="2:17" x14ac:dyDescent="0.35">
      <c r="B68" s="18" t="s">
        <v>83</v>
      </c>
      <c r="C68" s="18">
        <v>1</v>
      </c>
      <c r="D68" s="18">
        <v>0</v>
      </c>
      <c r="E68" s="19">
        <v>1</v>
      </c>
      <c r="F68" s="20"/>
      <c r="I68" s="18" t="s">
        <v>81</v>
      </c>
      <c r="J68" s="18">
        <v>0</v>
      </c>
      <c r="K68" s="18"/>
      <c r="L68" s="18">
        <v>0</v>
      </c>
      <c r="M68" s="19" t="s">
        <v>19</v>
      </c>
      <c r="N68" s="18"/>
      <c r="O68" s="22">
        <v>1</v>
      </c>
      <c r="P68" s="23">
        <v>1</v>
      </c>
      <c r="Q68" s="20"/>
    </row>
    <row r="69" spans="2:17" x14ac:dyDescent="0.35">
      <c r="B69" s="18" t="s">
        <v>84</v>
      </c>
      <c r="C69" s="24">
        <v>0</v>
      </c>
      <c r="D69" s="18">
        <v>0</v>
      </c>
      <c r="E69" s="19" t="s">
        <v>22</v>
      </c>
      <c r="F69" s="20"/>
      <c r="I69" s="18" t="s">
        <v>83</v>
      </c>
      <c r="J69" s="18">
        <v>0</v>
      </c>
      <c r="K69" s="18"/>
      <c r="L69" s="18">
        <v>0</v>
      </c>
      <c r="M69" s="19" t="s">
        <v>19</v>
      </c>
      <c r="N69" s="18"/>
      <c r="O69" s="22">
        <v>1</v>
      </c>
      <c r="P69" s="23">
        <v>1</v>
      </c>
      <c r="Q69" s="20"/>
    </row>
    <row r="70" spans="2:17" x14ac:dyDescent="0.35">
      <c r="B70" s="18" t="s">
        <v>85</v>
      </c>
      <c r="C70" s="24">
        <v>0</v>
      </c>
      <c r="D70" s="18">
        <v>0</v>
      </c>
      <c r="E70" s="19" t="s">
        <v>22</v>
      </c>
      <c r="F70" s="20"/>
      <c r="I70" s="18" t="s">
        <v>84</v>
      </c>
      <c r="J70" s="18">
        <v>0</v>
      </c>
      <c r="K70" s="18"/>
      <c r="L70" s="18">
        <v>1</v>
      </c>
      <c r="M70" s="19">
        <v>1</v>
      </c>
      <c r="N70" s="18"/>
      <c r="O70" s="22">
        <v>1</v>
      </c>
      <c r="P70" s="23">
        <v>1</v>
      </c>
      <c r="Q70" s="20"/>
    </row>
    <row r="71" spans="2:17" x14ac:dyDescent="0.35">
      <c r="B71" s="18" t="s">
        <v>86</v>
      </c>
      <c r="C71" s="24">
        <v>7</v>
      </c>
      <c r="D71" s="18">
        <v>0</v>
      </c>
      <c r="E71" s="19">
        <v>1</v>
      </c>
      <c r="F71" s="20"/>
      <c r="I71" s="18" t="s">
        <v>85</v>
      </c>
      <c r="J71" s="18">
        <v>0</v>
      </c>
      <c r="K71" s="18"/>
      <c r="L71" s="18">
        <v>0</v>
      </c>
      <c r="M71" s="19" t="s">
        <v>19</v>
      </c>
      <c r="N71" s="18"/>
      <c r="O71" s="22">
        <v>1</v>
      </c>
      <c r="P71" s="23">
        <v>1</v>
      </c>
      <c r="Q71" s="20"/>
    </row>
    <row r="72" spans="2:17" x14ac:dyDescent="0.35">
      <c r="B72" s="18" t="s">
        <v>87</v>
      </c>
      <c r="C72" s="18">
        <v>1</v>
      </c>
      <c r="D72" s="18">
        <v>0</v>
      </c>
      <c r="E72" s="19">
        <v>1</v>
      </c>
      <c r="F72" s="20"/>
      <c r="I72" s="18" t="s">
        <v>86</v>
      </c>
      <c r="J72" s="18">
        <v>0</v>
      </c>
      <c r="K72" s="18"/>
      <c r="L72" s="18">
        <v>1</v>
      </c>
      <c r="M72" s="19">
        <v>1</v>
      </c>
      <c r="N72" s="18"/>
      <c r="O72" s="22">
        <v>1</v>
      </c>
      <c r="P72" s="23">
        <v>1</v>
      </c>
      <c r="Q72" s="20"/>
    </row>
    <row r="73" spans="2:17" x14ac:dyDescent="0.35">
      <c r="B73" s="18" t="s">
        <v>88</v>
      </c>
      <c r="C73" s="24">
        <v>0</v>
      </c>
      <c r="D73" s="18">
        <v>0</v>
      </c>
      <c r="E73" s="19" t="s">
        <v>22</v>
      </c>
      <c r="F73" s="20"/>
      <c r="I73" s="18" t="s">
        <v>88</v>
      </c>
      <c r="J73" s="18">
        <v>0</v>
      </c>
      <c r="K73" s="18"/>
      <c r="L73" s="18">
        <v>1</v>
      </c>
      <c r="M73" s="19">
        <v>1</v>
      </c>
      <c r="N73" s="18"/>
      <c r="O73" s="22">
        <v>1</v>
      </c>
      <c r="P73" s="23">
        <v>1</v>
      </c>
      <c r="Q73" s="20"/>
    </row>
    <row r="74" spans="2:17" x14ac:dyDescent="0.35">
      <c r="B74" s="18" t="s">
        <v>89</v>
      </c>
      <c r="C74" s="18">
        <v>20</v>
      </c>
      <c r="D74" s="18">
        <v>0</v>
      </c>
      <c r="E74" s="19">
        <v>1</v>
      </c>
      <c r="F74" s="20"/>
      <c r="I74" s="18" t="s">
        <v>89</v>
      </c>
      <c r="J74" s="18">
        <v>1</v>
      </c>
      <c r="K74" s="25">
        <v>1</v>
      </c>
      <c r="L74" s="18">
        <v>1</v>
      </c>
      <c r="M74" s="19">
        <v>1</v>
      </c>
      <c r="N74" s="18">
        <v>3</v>
      </c>
      <c r="O74" s="22">
        <v>1</v>
      </c>
      <c r="P74" s="23">
        <v>1</v>
      </c>
      <c r="Q74" s="20"/>
    </row>
    <row r="75" spans="2:17" x14ac:dyDescent="0.35">
      <c r="B75" s="18" t="s">
        <v>90</v>
      </c>
      <c r="C75" s="24">
        <v>0</v>
      </c>
      <c r="D75" s="18">
        <v>0</v>
      </c>
      <c r="E75" s="19" t="s">
        <v>22</v>
      </c>
      <c r="F75" s="20"/>
      <c r="I75" s="18" t="s">
        <v>90</v>
      </c>
      <c r="J75" s="18">
        <v>0</v>
      </c>
      <c r="K75" s="18"/>
      <c r="L75" s="18">
        <v>0</v>
      </c>
      <c r="M75" s="19" t="s">
        <v>19</v>
      </c>
      <c r="N75" s="18"/>
      <c r="O75" s="22">
        <v>1</v>
      </c>
      <c r="P75" s="23">
        <v>1</v>
      </c>
      <c r="Q75" s="20"/>
    </row>
    <row r="76" spans="2:17" x14ac:dyDescent="0.35">
      <c r="B76" s="18" t="s">
        <v>91</v>
      </c>
      <c r="C76" s="18">
        <v>25</v>
      </c>
      <c r="D76" s="18">
        <v>0</v>
      </c>
      <c r="E76" s="19">
        <v>1</v>
      </c>
      <c r="F76" s="20"/>
      <c r="I76" s="18" t="s">
        <v>91</v>
      </c>
      <c r="J76" s="18">
        <v>0</v>
      </c>
      <c r="K76" s="18"/>
      <c r="L76" s="18">
        <v>1</v>
      </c>
      <c r="M76" s="19">
        <v>1</v>
      </c>
      <c r="N76" s="18"/>
      <c r="O76" s="22">
        <v>1</v>
      </c>
      <c r="P76" s="23">
        <v>1</v>
      </c>
      <c r="Q76" s="20"/>
    </row>
    <row r="77" spans="2:17" x14ac:dyDescent="0.35">
      <c r="B77" s="18" t="s">
        <v>92</v>
      </c>
      <c r="C77" s="18">
        <v>2</v>
      </c>
      <c r="D77" s="18">
        <v>1</v>
      </c>
      <c r="E77" s="19">
        <v>0.67</v>
      </c>
      <c r="F77" s="20"/>
      <c r="I77" s="18" t="s">
        <v>92</v>
      </c>
      <c r="J77" s="18">
        <v>0</v>
      </c>
      <c r="K77" s="18"/>
      <c r="L77" s="18">
        <v>3</v>
      </c>
      <c r="M77" s="19">
        <v>1</v>
      </c>
      <c r="N77" s="18"/>
      <c r="O77" s="22">
        <v>1</v>
      </c>
      <c r="P77" s="23">
        <v>1</v>
      </c>
      <c r="Q77" s="20"/>
    </row>
    <row r="83" spans="2:5" ht="16" x14ac:dyDescent="0.4">
      <c r="B83" s="5" t="s">
        <v>93</v>
      </c>
    </row>
    <row r="84" spans="2:5" x14ac:dyDescent="0.35">
      <c r="C84"/>
      <c r="D84"/>
      <c r="E84"/>
    </row>
    <row r="85" spans="2:5" x14ac:dyDescent="0.35">
      <c r="B85" s="12" t="s">
        <v>6</v>
      </c>
      <c r="C85" s="13" t="s">
        <v>7</v>
      </c>
      <c r="D85" s="13" t="s">
        <v>8</v>
      </c>
      <c r="E85" s="14" t="s">
        <v>94</v>
      </c>
    </row>
    <row r="86" spans="2:5" x14ac:dyDescent="0.35">
      <c r="B86" s="18" t="s">
        <v>16</v>
      </c>
      <c r="C86" s="18">
        <v>51</v>
      </c>
      <c r="D86" s="18">
        <v>0</v>
      </c>
      <c r="E86" s="19">
        <v>1</v>
      </c>
    </row>
    <row r="87" spans="2:5" x14ac:dyDescent="0.35">
      <c r="B87" s="18" t="s">
        <v>17</v>
      </c>
      <c r="C87" s="18">
        <v>0</v>
      </c>
      <c r="D87" s="18">
        <v>0</v>
      </c>
      <c r="E87" s="19" t="s">
        <v>22</v>
      </c>
    </row>
    <row r="88" spans="2:5" x14ac:dyDescent="0.35">
      <c r="B88" s="18" t="s">
        <v>18</v>
      </c>
      <c r="C88" s="18">
        <v>0</v>
      </c>
      <c r="D88" s="18">
        <v>0</v>
      </c>
      <c r="E88" s="19" t="s">
        <v>22</v>
      </c>
    </row>
    <row r="89" spans="2:5" x14ac:dyDescent="0.35">
      <c r="B89" s="18" t="s">
        <v>20</v>
      </c>
      <c r="C89" s="18">
        <v>0</v>
      </c>
      <c r="D89" s="18">
        <v>0</v>
      </c>
      <c r="E89" s="19" t="s">
        <v>22</v>
      </c>
    </row>
    <row r="90" spans="2:5" x14ac:dyDescent="0.35">
      <c r="B90" s="18" t="s">
        <v>21</v>
      </c>
      <c r="C90" s="18">
        <v>0</v>
      </c>
      <c r="D90" s="18">
        <v>0</v>
      </c>
      <c r="E90" s="19" t="s">
        <v>22</v>
      </c>
    </row>
    <row r="91" spans="2:5" x14ac:dyDescent="0.35">
      <c r="B91" s="18" t="s">
        <v>23</v>
      </c>
      <c r="C91" s="18">
        <v>1</v>
      </c>
      <c r="D91" s="18">
        <v>0</v>
      </c>
      <c r="E91" s="19">
        <v>1</v>
      </c>
    </row>
    <row r="92" spans="2:5" x14ac:dyDescent="0.35">
      <c r="B92" s="18" t="s">
        <v>24</v>
      </c>
      <c r="C92" s="18">
        <v>3</v>
      </c>
      <c r="D92" s="18">
        <v>0</v>
      </c>
      <c r="E92" s="19">
        <v>1</v>
      </c>
    </row>
    <row r="93" spans="2:5" x14ac:dyDescent="0.35">
      <c r="B93" s="18" t="s">
        <v>25</v>
      </c>
      <c r="C93" s="18">
        <v>0</v>
      </c>
      <c r="D93" s="18">
        <v>0</v>
      </c>
      <c r="E93" s="19" t="s">
        <v>22</v>
      </c>
    </row>
    <row r="94" spans="2:5" x14ac:dyDescent="0.35">
      <c r="B94" s="18" t="s">
        <v>26</v>
      </c>
      <c r="C94" s="18">
        <v>1</v>
      </c>
      <c r="D94" s="18">
        <v>0</v>
      </c>
      <c r="E94" s="19">
        <v>1</v>
      </c>
    </row>
    <row r="95" spans="2:5" x14ac:dyDescent="0.35">
      <c r="B95" s="18" t="s">
        <v>27</v>
      </c>
      <c r="C95" s="18">
        <v>2</v>
      </c>
      <c r="D95" s="18">
        <v>0</v>
      </c>
      <c r="E95" s="19">
        <v>1</v>
      </c>
    </row>
    <row r="96" spans="2:5" x14ac:dyDescent="0.35">
      <c r="B96" s="18" t="s">
        <v>28</v>
      </c>
      <c r="C96" s="18">
        <v>0</v>
      </c>
      <c r="D96" s="18">
        <v>0</v>
      </c>
      <c r="E96" s="19" t="s">
        <v>22</v>
      </c>
    </row>
    <row r="97" spans="2:5" x14ac:dyDescent="0.35">
      <c r="B97" s="18" t="s">
        <v>29</v>
      </c>
      <c r="C97" s="18">
        <v>1</v>
      </c>
      <c r="D97" s="18">
        <v>0</v>
      </c>
      <c r="E97" s="19">
        <v>1</v>
      </c>
    </row>
    <row r="98" spans="2:5" x14ac:dyDescent="0.35">
      <c r="B98" s="18" t="s">
        <v>30</v>
      </c>
      <c r="C98" s="18">
        <v>1</v>
      </c>
      <c r="D98" s="18">
        <v>0</v>
      </c>
      <c r="E98" s="19">
        <v>1</v>
      </c>
    </row>
    <row r="99" spans="2:5" x14ac:dyDescent="0.35">
      <c r="B99" s="18" t="s">
        <v>31</v>
      </c>
      <c r="C99" s="18">
        <v>1</v>
      </c>
      <c r="D99" s="18">
        <v>0</v>
      </c>
      <c r="E99" s="19">
        <v>1</v>
      </c>
    </row>
    <row r="100" spans="2:5" x14ac:dyDescent="0.35">
      <c r="B100" s="18" t="s">
        <v>32</v>
      </c>
      <c r="C100" s="18">
        <v>0</v>
      </c>
      <c r="D100" s="18">
        <v>0</v>
      </c>
      <c r="E100" s="19" t="s">
        <v>22</v>
      </c>
    </row>
    <row r="101" spans="2:5" x14ac:dyDescent="0.35">
      <c r="B101" s="18" t="s">
        <v>33</v>
      </c>
      <c r="C101" s="18">
        <v>2</v>
      </c>
      <c r="D101" s="18">
        <v>0</v>
      </c>
      <c r="E101" s="19">
        <v>1</v>
      </c>
    </row>
    <row r="102" spans="2:5" x14ac:dyDescent="0.35">
      <c r="B102" s="18" t="s">
        <v>35</v>
      </c>
      <c r="C102" s="18">
        <v>0</v>
      </c>
      <c r="D102" s="18">
        <v>0</v>
      </c>
      <c r="E102" s="19" t="s">
        <v>22</v>
      </c>
    </row>
    <row r="103" spans="2:5" x14ac:dyDescent="0.35">
      <c r="B103" s="18" t="s">
        <v>36</v>
      </c>
      <c r="C103" s="18">
        <v>0</v>
      </c>
      <c r="D103" s="18">
        <v>0</v>
      </c>
      <c r="E103" s="19" t="s">
        <v>22</v>
      </c>
    </row>
    <row r="104" spans="2:5" x14ac:dyDescent="0.35">
      <c r="B104" s="18" t="s">
        <v>37</v>
      </c>
      <c r="C104" s="18">
        <v>2</v>
      </c>
      <c r="D104" s="18">
        <v>0</v>
      </c>
      <c r="E104" s="19">
        <v>1</v>
      </c>
    </row>
    <row r="105" spans="2:5" x14ac:dyDescent="0.35">
      <c r="B105" s="18" t="s">
        <v>38</v>
      </c>
      <c r="C105" s="18">
        <v>3</v>
      </c>
      <c r="D105" s="18">
        <v>0</v>
      </c>
      <c r="E105" s="19">
        <v>1</v>
      </c>
    </row>
    <row r="106" spans="2:5" x14ac:dyDescent="0.35">
      <c r="B106" s="18" t="s">
        <v>39</v>
      </c>
      <c r="C106" s="18">
        <v>0</v>
      </c>
      <c r="D106" s="18">
        <v>0</v>
      </c>
      <c r="E106" s="19" t="s">
        <v>22</v>
      </c>
    </row>
    <row r="107" spans="2:5" x14ac:dyDescent="0.35">
      <c r="B107" s="18" t="s">
        <v>40</v>
      </c>
      <c r="C107" s="18">
        <v>0</v>
      </c>
      <c r="D107" s="18">
        <v>0</v>
      </c>
      <c r="E107" s="19" t="s">
        <v>22</v>
      </c>
    </row>
    <row r="108" spans="2:5" x14ac:dyDescent="0.35">
      <c r="B108" s="18" t="s">
        <v>41</v>
      </c>
      <c r="C108" s="18">
        <v>2</v>
      </c>
      <c r="D108" s="18">
        <v>0</v>
      </c>
      <c r="E108" s="19">
        <v>1</v>
      </c>
    </row>
    <row r="109" spans="2:5" x14ac:dyDescent="0.35">
      <c r="B109" s="18" t="s">
        <v>42</v>
      </c>
      <c r="C109" s="18">
        <v>0</v>
      </c>
      <c r="D109" s="18">
        <v>0</v>
      </c>
      <c r="E109" s="19" t="s">
        <v>22</v>
      </c>
    </row>
    <row r="110" spans="2:5" x14ac:dyDescent="0.35">
      <c r="B110" s="18" t="s">
        <v>43</v>
      </c>
      <c r="C110" s="18">
        <v>1</v>
      </c>
      <c r="D110" s="18">
        <v>0</v>
      </c>
      <c r="E110" s="19">
        <v>1</v>
      </c>
    </row>
    <row r="111" spans="2:5" x14ac:dyDescent="0.35">
      <c r="B111" s="18" t="s">
        <v>44</v>
      </c>
      <c r="C111" s="18">
        <v>1</v>
      </c>
      <c r="D111" s="18">
        <v>0</v>
      </c>
      <c r="E111" s="19">
        <v>1</v>
      </c>
    </row>
    <row r="112" spans="2:5" x14ac:dyDescent="0.35">
      <c r="B112" s="18" t="s">
        <v>45</v>
      </c>
      <c r="C112" s="18">
        <v>0</v>
      </c>
      <c r="D112" s="18">
        <v>0</v>
      </c>
      <c r="E112" s="19" t="s">
        <v>22</v>
      </c>
    </row>
    <row r="113" spans="2:5" x14ac:dyDescent="0.35">
      <c r="B113" s="18" t="s">
        <v>46</v>
      </c>
      <c r="C113" s="18">
        <v>2</v>
      </c>
      <c r="D113" s="18">
        <v>0</v>
      </c>
      <c r="E113" s="19">
        <v>1</v>
      </c>
    </row>
    <row r="114" spans="2:5" x14ac:dyDescent="0.35">
      <c r="B114" s="18" t="s">
        <v>47</v>
      </c>
      <c r="C114" s="18">
        <v>0</v>
      </c>
      <c r="D114" s="18">
        <v>0</v>
      </c>
      <c r="E114" s="19" t="s">
        <v>22</v>
      </c>
    </row>
    <row r="115" spans="2:5" x14ac:dyDescent="0.35">
      <c r="B115" s="18" t="s">
        <v>48</v>
      </c>
      <c r="C115" s="18">
        <v>0</v>
      </c>
      <c r="D115" s="18">
        <v>0</v>
      </c>
      <c r="E115" s="19" t="s">
        <v>22</v>
      </c>
    </row>
    <row r="116" spans="2:5" x14ac:dyDescent="0.35">
      <c r="B116" s="18" t="s">
        <v>49</v>
      </c>
      <c r="C116" s="18">
        <v>12</v>
      </c>
      <c r="D116" s="18">
        <v>0</v>
      </c>
      <c r="E116" s="19">
        <v>1</v>
      </c>
    </row>
    <row r="117" spans="2:5" x14ac:dyDescent="0.35">
      <c r="B117" s="18" t="s">
        <v>51</v>
      </c>
      <c r="C117" s="18">
        <v>0</v>
      </c>
      <c r="D117" s="18">
        <v>0</v>
      </c>
      <c r="E117" s="19" t="s">
        <v>22</v>
      </c>
    </row>
    <row r="118" spans="2:5" x14ac:dyDescent="0.35">
      <c r="B118" s="18" t="s">
        <v>52</v>
      </c>
      <c r="C118" s="18">
        <v>0</v>
      </c>
      <c r="D118" s="18">
        <v>0</v>
      </c>
      <c r="E118" s="19" t="s">
        <v>22</v>
      </c>
    </row>
    <row r="119" spans="2:5" x14ac:dyDescent="0.35">
      <c r="B119" s="18" t="s">
        <v>53</v>
      </c>
      <c r="C119" s="18">
        <v>1</v>
      </c>
      <c r="D119" s="18">
        <v>0</v>
      </c>
      <c r="E119" s="19">
        <v>1</v>
      </c>
    </row>
    <row r="120" spans="2:5" x14ac:dyDescent="0.35">
      <c r="B120" s="18" t="s">
        <v>54</v>
      </c>
      <c r="C120" s="18">
        <v>0</v>
      </c>
      <c r="D120" s="18">
        <v>0</v>
      </c>
      <c r="E120" s="19" t="s">
        <v>22</v>
      </c>
    </row>
    <row r="121" spans="2:5" x14ac:dyDescent="0.35">
      <c r="B121" s="18" t="s">
        <v>55</v>
      </c>
      <c r="C121" s="18">
        <v>0</v>
      </c>
      <c r="D121" s="18">
        <v>0</v>
      </c>
      <c r="E121" s="19" t="s">
        <v>22</v>
      </c>
    </row>
    <row r="122" spans="2:5" x14ac:dyDescent="0.35">
      <c r="B122" s="18" t="s">
        <v>56</v>
      </c>
      <c r="C122" s="18">
        <v>0</v>
      </c>
      <c r="D122" s="18">
        <v>0</v>
      </c>
      <c r="E122" s="19" t="s">
        <v>22</v>
      </c>
    </row>
    <row r="123" spans="2:5" x14ac:dyDescent="0.35">
      <c r="B123" s="18" t="s">
        <v>57</v>
      </c>
      <c r="C123" s="18">
        <v>2</v>
      </c>
      <c r="D123" s="18">
        <v>0</v>
      </c>
      <c r="E123" s="19">
        <v>1</v>
      </c>
    </row>
    <row r="124" spans="2:5" x14ac:dyDescent="0.35">
      <c r="B124" s="18" t="s">
        <v>58</v>
      </c>
      <c r="C124" s="18">
        <v>0</v>
      </c>
      <c r="D124" s="18">
        <v>0</v>
      </c>
      <c r="E124" s="19" t="s">
        <v>22</v>
      </c>
    </row>
    <row r="125" spans="2:5" x14ac:dyDescent="0.35">
      <c r="B125" s="18" t="s">
        <v>59</v>
      </c>
      <c r="C125" s="18">
        <v>0</v>
      </c>
      <c r="D125" s="18">
        <v>0</v>
      </c>
      <c r="E125" s="19" t="s">
        <v>22</v>
      </c>
    </row>
    <row r="126" spans="2:5" x14ac:dyDescent="0.35">
      <c r="B126" s="18" t="s">
        <v>60</v>
      </c>
      <c r="C126" s="18">
        <v>0</v>
      </c>
      <c r="D126" s="18">
        <v>0</v>
      </c>
      <c r="E126" s="19" t="s">
        <v>22</v>
      </c>
    </row>
    <row r="127" spans="2:5" x14ac:dyDescent="0.35">
      <c r="B127" s="18" t="s">
        <v>61</v>
      </c>
      <c r="C127" s="18">
        <v>0</v>
      </c>
      <c r="D127" s="18">
        <v>0</v>
      </c>
      <c r="E127" s="19" t="s">
        <v>22</v>
      </c>
    </row>
    <row r="128" spans="2:5" x14ac:dyDescent="0.35">
      <c r="B128" s="18" t="s">
        <v>62</v>
      </c>
      <c r="C128" s="18">
        <v>0</v>
      </c>
      <c r="D128" s="18">
        <v>0</v>
      </c>
      <c r="E128" s="19" t="s">
        <v>22</v>
      </c>
    </row>
    <row r="129" spans="2:5" x14ac:dyDescent="0.35">
      <c r="B129" s="18" t="s">
        <v>63</v>
      </c>
      <c r="C129" s="18">
        <v>0</v>
      </c>
      <c r="D129" s="18">
        <v>0</v>
      </c>
      <c r="E129" s="19" t="s">
        <v>22</v>
      </c>
    </row>
    <row r="130" spans="2:5" x14ac:dyDescent="0.35">
      <c r="B130" s="18" t="s">
        <v>64</v>
      </c>
      <c r="C130" s="18">
        <v>1</v>
      </c>
      <c r="D130" s="18">
        <v>0</v>
      </c>
      <c r="E130" s="19">
        <v>1</v>
      </c>
    </row>
    <row r="131" spans="2:5" x14ac:dyDescent="0.35">
      <c r="B131" s="18" t="s">
        <v>65</v>
      </c>
      <c r="C131" s="18">
        <v>2</v>
      </c>
      <c r="D131" s="18">
        <v>0</v>
      </c>
      <c r="E131" s="19">
        <v>1</v>
      </c>
    </row>
    <row r="132" spans="2:5" x14ac:dyDescent="0.35">
      <c r="B132" s="18" t="s">
        <v>66</v>
      </c>
      <c r="C132" s="18">
        <v>0</v>
      </c>
      <c r="D132" s="18">
        <v>0</v>
      </c>
      <c r="E132" s="19" t="s">
        <v>22</v>
      </c>
    </row>
    <row r="133" spans="2:5" x14ac:dyDescent="0.35">
      <c r="B133" s="18" t="s">
        <v>67</v>
      </c>
      <c r="C133" s="18">
        <v>0</v>
      </c>
      <c r="D133" s="18">
        <v>0</v>
      </c>
      <c r="E133" s="19" t="s">
        <v>22</v>
      </c>
    </row>
    <row r="134" spans="2:5" x14ac:dyDescent="0.35">
      <c r="B134" s="18" t="s">
        <v>68</v>
      </c>
      <c r="C134" s="18">
        <v>0</v>
      </c>
      <c r="D134" s="18">
        <v>0</v>
      </c>
      <c r="E134" s="19" t="s">
        <v>22</v>
      </c>
    </row>
    <row r="135" spans="2:5" x14ac:dyDescent="0.35">
      <c r="B135" s="18" t="s">
        <v>69</v>
      </c>
      <c r="C135" s="18">
        <v>0</v>
      </c>
      <c r="D135" s="18">
        <v>0</v>
      </c>
      <c r="E135" s="19" t="s">
        <v>22</v>
      </c>
    </row>
    <row r="136" spans="2:5" x14ac:dyDescent="0.35">
      <c r="B136" s="18" t="s">
        <v>70</v>
      </c>
      <c r="C136" s="18">
        <v>1</v>
      </c>
      <c r="D136" s="18">
        <v>0</v>
      </c>
      <c r="E136" s="19">
        <v>1</v>
      </c>
    </row>
    <row r="137" spans="2:5" x14ac:dyDescent="0.35">
      <c r="B137" s="18" t="s">
        <v>71</v>
      </c>
      <c r="C137" s="18">
        <v>0</v>
      </c>
      <c r="D137" s="18">
        <v>0</v>
      </c>
      <c r="E137" s="19" t="s">
        <v>22</v>
      </c>
    </row>
    <row r="138" spans="2:5" x14ac:dyDescent="0.35">
      <c r="B138" s="18" t="s">
        <v>72</v>
      </c>
      <c r="C138" s="18">
        <v>0</v>
      </c>
      <c r="D138" s="18">
        <v>0</v>
      </c>
      <c r="E138" s="19" t="s">
        <v>22</v>
      </c>
    </row>
    <row r="139" spans="2:5" x14ac:dyDescent="0.35">
      <c r="B139" s="18" t="s">
        <v>73</v>
      </c>
      <c r="C139" s="18">
        <v>3</v>
      </c>
      <c r="D139" s="18">
        <v>0</v>
      </c>
      <c r="E139" s="19">
        <v>1</v>
      </c>
    </row>
    <row r="140" spans="2:5" x14ac:dyDescent="0.35">
      <c r="B140" s="18" t="s">
        <v>75</v>
      </c>
      <c r="C140" s="18">
        <v>0</v>
      </c>
      <c r="D140" s="18">
        <v>0</v>
      </c>
      <c r="E140" s="19" t="s">
        <v>22</v>
      </c>
    </row>
    <row r="141" spans="2:5" x14ac:dyDescent="0.35">
      <c r="B141" s="18" t="s">
        <v>74</v>
      </c>
      <c r="C141" s="18">
        <v>0</v>
      </c>
      <c r="D141" s="18">
        <v>0</v>
      </c>
      <c r="E141" s="19" t="s">
        <v>22</v>
      </c>
    </row>
    <row r="142" spans="2:5" x14ac:dyDescent="0.35">
      <c r="B142" s="18" t="s">
        <v>76</v>
      </c>
      <c r="C142" s="18">
        <v>0</v>
      </c>
      <c r="D142" s="18">
        <v>0</v>
      </c>
      <c r="E142" s="19" t="s">
        <v>22</v>
      </c>
    </row>
    <row r="143" spans="2:5" x14ac:dyDescent="0.35">
      <c r="B143" s="18" t="s">
        <v>77</v>
      </c>
      <c r="C143" s="18">
        <v>0</v>
      </c>
      <c r="D143" s="18">
        <v>0</v>
      </c>
      <c r="E143" s="19" t="s">
        <v>22</v>
      </c>
    </row>
    <row r="144" spans="2:5" x14ac:dyDescent="0.35">
      <c r="B144" s="18" t="s">
        <v>78</v>
      </c>
      <c r="C144" s="18">
        <v>0</v>
      </c>
      <c r="D144" s="18">
        <v>0</v>
      </c>
      <c r="E144" s="19" t="s">
        <v>22</v>
      </c>
    </row>
    <row r="145" spans="2:5" x14ac:dyDescent="0.35">
      <c r="B145" s="18" t="s">
        <v>79</v>
      </c>
      <c r="C145" s="18">
        <v>0</v>
      </c>
      <c r="D145" s="18">
        <v>0</v>
      </c>
      <c r="E145" s="19" t="s">
        <v>22</v>
      </c>
    </row>
    <row r="146" spans="2:5" x14ac:dyDescent="0.35">
      <c r="B146" s="18" t="s">
        <v>80</v>
      </c>
      <c r="C146" s="18">
        <v>2</v>
      </c>
      <c r="D146" s="18">
        <v>0</v>
      </c>
      <c r="E146" s="19">
        <v>1</v>
      </c>
    </row>
    <row r="147" spans="2:5" x14ac:dyDescent="0.35">
      <c r="B147" s="18" t="s">
        <v>81</v>
      </c>
      <c r="C147" s="18">
        <v>0</v>
      </c>
      <c r="D147" s="18">
        <v>0</v>
      </c>
      <c r="E147" s="19" t="s">
        <v>22</v>
      </c>
    </row>
    <row r="148" spans="2:5" x14ac:dyDescent="0.35">
      <c r="B148" s="18" t="s">
        <v>83</v>
      </c>
      <c r="C148" s="18">
        <v>0</v>
      </c>
      <c r="D148" s="18">
        <v>0</v>
      </c>
      <c r="E148" s="19" t="s">
        <v>22</v>
      </c>
    </row>
    <row r="149" spans="2:5" x14ac:dyDescent="0.35">
      <c r="B149" s="18" t="s">
        <v>84</v>
      </c>
      <c r="C149" s="18">
        <v>0</v>
      </c>
      <c r="D149" s="18">
        <v>0</v>
      </c>
      <c r="E149" s="19" t="s">
        <v>22</v>
      </c>
    </row>
    <row r="150" spans="2:5" x14ac:dyDescent="0.35">
      <c r="B150" s="18" t="s">
        <v>85</v>
      </c>
      <c r="C150" s="18">
        <v>0</v>
      </c>
      <c r="D150" s="18">
        <v>0</v>
      </c>
      <c r="E150" s="19" t="s">
        <v>22</v>
      </c>
    </row>
    <row r="151" spans="2:5" x14ac:dyDescent="0.35">
      <c r="B151" s="18" t="s">
        <v>86</v>
      </c>
      <c r="C151" s="18">
        <v>0</v>
      </c>
      <c r="D151" s="18">
        <v>0</v>
      </c>
      <c r="E151" s="19" t="s">
        <v>22</v>
      </c>
    </row>
    <row r="152" spans="2:5" x14ac:dyDescent="0.35">
      <c r="B152" s="18" t="s">
        <v>88</v>
      </c>
      <c r="C152" s="18">
        <v>0</v>
      </c>
      <c r="D152" s="18">
        <v>0</v>
      </c>
      <c r="E152" s="19" t="s">
        <v>22</v>
      </c>
    </row>
    <row r="153" spans="2:5" x14ac:dyDescent="0.35">
      <c r="B153" s="18" t="s">
        <v>89</v>
      </c>
      <c r="C153" s="18">
        <v>3</v>
      </c>
      <c r="D153" s="18">
        <v>0</v>
      </c>
      <c r="E153" s="19">
        <v>1</v>
      </c>
    </row>
    <row r="154" spans="2:5" x14ac:dyDescent="0.35">
      <c r="B154" s="18" t="s">
        <v>90</v>
      </c>
      <c r="C154" s="18">
        <v>0</v>
      </c>
      <c r="D154" s="18">
        <v>0</v>
      </c>
      <c r="E154" s="19" t="s">
        <v>22</v>
      </c>
    </row>
    <row r="155" spans="2:5" x14ac:dyDescent="0.35">
      <c r="B155" s="18" t="s">
        <v>91</v>
      </c>
      <c r="C155" s="18">
        <v>1</v>
      </c>
      <c r="D155" s="18">
        <v>0</v>
      </c>
      <c r="E155" s="19">
        <v>1</v>
      </c>
    </row>
    <row r="156" spans="2:5" x14ac:dyDescent="0.35">
      <c r="B156" s="18" t="s">
        <v>92</v>
      </c>
      <c r="C156" s="18">
        <v>0</v>
      </c>
      <c r="D156" s="18">
        <v>0</v>
      </c>
      <c r="E156" s="19" t="s">
        <v>22</v>
      </c>
    </row>
  </sheetData>
  <mergeCells count="3">
    <mergeCell ref="J5:K5"/>
    <mergeCell ref="L5:N5"/>
    <mergeCell ref="O5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Miles Consultancy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Howden</dc:creator>
  <cp:lastModifiedBy>Bethany Howden</cp:lastModifiedBy>
  <dcterms:created xsi:type="dcterms:W3CDTF">2026-04-23T11:20:49Z</dcterms:created>
  <dcterms:modified xsi:type="dcterms:W3CDTF">2026-04-23T11:21:27Z</dcterms:modified>
</cp:coreProperties>
</file>